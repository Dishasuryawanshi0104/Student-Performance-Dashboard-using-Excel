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bc4219979222e9/Desktop/Excel/"/>
    </mc:Choice>
  </mc:AlternateContent>
  <xr:revisionPtr revIDLastSave="116" documentId="13_ncr:1_{825C46D0-AE93-4060-B3A1-259263F29D29}" xr6:coauthVersionLast="47" xr6:coauthVersionMax="47" xr10:uidLastSave="{6BF9898B-2B68-4472-870D-AF841882C5E8}"/>
  <bookViews>
    <workbookView xWindow="-108" yWindow="-108" windowWidth="23256" windowHeight="12456" xr2:uid="{ABF18290-3223-401B-98F2-AEB724018DB3}"/>
  </bookViews>
  <sheets>
    <sheet name="Sheet1" sheetId="8" r:id="rId1"/>
    <sheet name="Additional Details" sheetId="7" r:id="rId2"/>
    <sheet name="Biology" sheetId="1" r:id="rId3"/>
    <sheet name="Chemistry" sheetId="2" r:id="rId4"/>
    <sheet name="Mathematics" sheetId="3" r:id="rId5"/>
    <sheet name="Philosophy" sheetId="4" r:id="rId6"/>
    <sheet name="Physics" sheetId="5" r:id="rId7"/>
    <sheet name="Sociology" sheetId="6" r:id="rId8"/>
  </sheets>
  <definedNames>
    <definedName name="_xlchart.v1.0" hidden="1">Sheet1!$B$23:$B$28</definedName>
    <definedName name="_xlchart.v1.1" hidden="1">Sheet1!$C$22</definedName>
    <definedName name="_xlchart.v1.2" hidden="1">Sheet1!$C$23:$C$28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8" l="1"/>
  <c r="C15" i="8"/>
  <c r="C17" i="8" s="1"/>
  <c r="C19" i="8"/>
  <c r="C20" i="8" s="1"/>
  <c r="C23" i="8"/>
  <c r="C8" i="8"/>
  <c r="C25" i="8"/>
  <c r="C26" i="8"/>
  <c r="C24" i="8"/>
  <c r="C28" i="8"/>
  <c r="C10" i="8"/>
  <c r="C27" i="8"/>
  <c r="C16" i="8" l="1"/>
  <c r="C9" i="8"/>
  <c r="C12" i="8"/>
  <c r="C11" i="8"/>
  <c r="C13" i="8"/>
  <c r="F40" i="6" l="1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<sst xmlns="http://schemas.openxmlformats.org/spreadsheetml/2006/main" count="715" uniqueCount="80">
  <si>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</si>
  <si>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</si>
  <si>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</si>
  <si>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</si>
  <si>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</si>
  <si>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</si>
  <si>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</si>
  <si>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</si>
  <si>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</si>
  <si>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</si>
  <si>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</si>
  <si>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</si>
  <si>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</si>
  <si>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</si>
  <si>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</si>
  <si>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</si>
  <si>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</si>
  <si>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</si>
  <si>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</si>
  <si>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</si>
  <si>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</si>
  <si>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</si>
  <si>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</si>
  <si>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</si>
  <si>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</si>
  <si>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</si>
  <si>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</si>
  <si>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</si>
  <si>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</si>
  <si>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</si>
  <si>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</si>
  <si>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</si>
  <si>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</si>
  <si>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</si>
  <si>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</si>
  <si>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</si>
  <si>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</si>
  <si>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</si>
  <si>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</si>
  <si>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</si>
  <si>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</si>
  <si>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</si>
  <si>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</si>
  <si>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</si>
  <si>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</si>
  <si>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</si>
  <si>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</si>
  <si>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</si>
  <si>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</si>
  <si>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</si>
  <si>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</si>
  <si>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</si>
  <si>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</si>
  <si>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</si>
  <si>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</si>
  <si>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</si>
  <si>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</si>
  <si>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</si>
  <si>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</si>
  <si>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</si>
  <si>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</si>
  <si>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</si>
  <si>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</si>
  <si>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</si>
  <si>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</si>
  <si>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</si>
  <si>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</si>
  <si>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</si>
  <si>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</si>
  <si>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</si>
  <si>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</si>
  <si>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 xml:space="preserve">Subject </t>
  </si>
  <si>
    <t>Marks</t>
  </si>
  <si>
    <t xml:space="preserve">Student name - </t>
  </si>
  <si>
    <t xml:space="preserve">Average Presence </t>
  </si>
  <si>
    <t xml:space="preserve">Average Absences </t>
  </si>
  <si>
    <t>Study Time Weekly</t>
  </si>
  <si>
    <t>Monthy Average</t>
  </si>
  <si>
    <t>Strength and Weakness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</si>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</sst>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0" fillId="2" borderId="0" xfId="0" applyFill="1"/>
    <xf numFmtId="0" fontId="0" fillId="2" borderId="1" xfId="0" applyFill="1" applyBorder="1"/>
    <xf numFmtId="0" fontId="4" fillId="3" borderId="1" xfId="0" applyFont="1" applyFill="1" applyBorder="1"/>
    <xf numFmtId="1" fontId="0" fillId="2" borderId="1" xfId="0" applyNumberForma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53320105296236"/>
          <c:y val="0.19096915121106284"/>
          <c:w val="0.68113345545872128"/>
          <c:h val="0.6540353713608343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cat>
            <c:strRef>
              <c:f>Sheet1!$B$16:$B$17</c:f>
              <c:strCache>
                <c:ptCount val="2"/>
                <c:pt idx="0">
                  <c:v>Average Presence </c:v>
                </c:pt>
                <c:pt idx="1">
                  <c:v>Average Absences </c:v>
                </c:pt>
              </c:strCache>
            </c:strRef>
          </c:cat>
          <c:val>
            <c:numRef>
              <c:f>Sheet1!$C$16:$C$17</c:f>
              <c:numCache>
                <c:formatCode>General</c:formatCode>
                <c:ptCount val="2"/>
                <c:pt idx="0">
                  <c:v>76.666666666666671</c:v>
                </c:pt>
                <c:pt idx="1">
                  <c:v>23.333333333333332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9-4842-A153-CBE3CF0E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333292367"/>
        <c:axId val="1333289007"/>
      </c:barChart>
      <c:catAx>
        <c:axId val="133329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89007"/>
        <c:crosses val="autoZero"/>
        <c:auto val="1"/>
        <c:lblAlgn val="ctr"/>
        <c:lblOffset val="100"/>
        <c:noMultiLvlLbl val="0"/>
      </c:catAx>
      <c:valAx>
        <c:axId val="133328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9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Time</a:t>
            </a:r>
            <a:endParaRPr lang="en-IN"/>
          </a:p>
        </c:rich>
      </c:tx>
      <c:layout>
        <c:manualLayout>
          <c:xMode val="edge"/>
          <c:yMode val="edge"/>
          <c:x val="0.34605623753385117"/>
          <c:y val="3.2430624212908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7"/>
      <c:depthPercent val="100"/>
      <c:rAngAx val="0"/>
      <c:perspective val="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750889445945262"/>
          <c:y val="0.19444880537144857"/>
          <c:w val="0.60885265485051432"/>
          <c:h val="0.71366440092082539"/>
        </c:manualLayout>
      </c:layout>
      <c:pie3DChart>
        <c:varyColors val="1"/>
        <c:ser>
          <c:idx val="0"/>
          <c:order val="0"/>
          <c:spPr>
            <a:effectLst>
              <a:outerShdw blurRad="50800" dist="127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12700" dir="2700000" algn="tl" rotWithShape="0">
                  <a:prstClr val="black">
                    <a:alpha val="4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990-4AEE-BD6C-5972E182F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12700" dir="2700000" algn="tl" rotWithShape="0">
                  <a:prstClr val="black">
                    <a:alpha val="4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990-4AEE-BD6C-5972E182F0D5}"/>
              </c:ext>
            </c:extLst>
          </c:dPt>
          <c:dLbls>
            <c:dLbl>
              <c:idx val="0"/>
              <c:layout>
                <c:manualLayout>
                  <c:x val="-9.9131961754704234E-2"/>
                  <c:y val="0.11173673349123676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853871060156432E-2"/>
                      <c:h val="7.1374611587947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990-4AEE-BD6C-5972E182F0D5}"/>
                </c:ext>
              </c:extLst>
            </c:dLbl>
            <c:dLbl>
              <c:idx val="1"/>
              <c:layout>
                <c:manualLayout>
                  <c:x val="0.12463246204971982"/>
                  <c:y val="-0.17033439588267818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286284939000328E-2"/>
                      <c:h val="7.67797156234319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90-4AEE-BD6C-5972E182F0D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Sheet1!$B$19:$B$20</c:f>
              <c:strCache>
                <c:ptCount val="2"/>
                <c:pt idx="0">
                  <c:v>Study Time Weekly</c:v>
                </c:pt>
                <c:pt idx="1">
                  <c:v>Monthy Average</c:v>
                </c:pt>
              </c:strCache>
            </c:strRef>
          </c:cat>
          <c:val>
            <c:numRef>
              <c:f>Sheet1!$C$19:$C$20</c:f>
              <c:numCache>
                <c:formatCode>General</c:formatCode>
                <c:ptCount val="2"/>
                <c:pt idx="0">
                  <c:v>19.833722807854699</c:v>
                </c:pt>
                <c:pt idx="1">
                  <c:v>79.334891231418794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0-4AEE-BD6C-5972E182F0D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78733817655039706"/>
          <c:y val="0.65465300721687791"/>
          <c:w val="0.18863492629769568"/>
          <c:h val="0.3175511388809562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Subject Marks</a:t>
            </a:r>
          </a:p>
        </c:rich>
      </c:tx>
      <c:layout>
        <c:manualLayout>
          <c:xMode val="edge"/>
          <c:yMode val="edge"/>
          <c:x val="0.3530799247439203"/>
          <c:y val="3.2407622960173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Sheet1!$B$8:$B$13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Sheet1!$C$8:$C$13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35</c:v>
                </c:pt>
                <c:pt idx="4">
                  <c:v>69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7-4DB6-AFF9-F7B7451067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8349120"/>
        <c:axId val="1218357280"/>
        <c:axId val="0"/>
      </c:bar3DChart>
      <c:catAx>
        <c:axId val="12183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57280"/>
        <c:crosses val="autoZero"/>
        <c:auto val="1"/>
        <c:lblAlgn val="ctr"/>
        <c:lblOffset val="100"/>
        <c:noMultiLvlLbl val="0"/>
      </c:catAx>
      <c:valAx>
        <c:axId val="1218357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83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743618330894479"/>
          <c:y val="0.20250096998744724"/>
          <c:w val="0.12269400699912508"/>
          <c:h val="8.7384806065908455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Strengths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Strengths</a:t>
          </a:r>
        </a:p>
      </cx:txPr>
    </cx:title>
    <cx:plotArea>
      <cx:plotAreaRegion>
        <cx:series layoutId="treemap" uniqueId="{88846490-7034-4765-9858-28DDCE9691E2}">
          <cx:tx>
            <cx:txData>
              <cx:f>_xlchart.v1.1</cx:f>
              <cx:v>Strength and Weakness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  <cx:spPr>
    <a:ln w="12700">
      <a:solidFill>
        <a:schemeClr val="tx1">
          <a:lumMod val="95000"/>
          <a:lumOff val="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14</xdr:row>
      <xdr:rowOff>237</xdr:rowOff>
    </xdr:from>
    <xdr:to>
      <xdr:col>11</xdr:col>
      <xdr:colOff>220980</xdr:colOff>
      <xdr:row>27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198DEF-0320-4CDF-F7C8-2A101A862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0</xdr:row>
      <xdr:rowOff>157035</xdr:rowOff>
    </xdr:from>
    <xdr:to>
      <xdr:col>19</xdr:col>
      <xdr:colOff>335280</xdr:colOff>
      <xdr:row>13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A5E9DE-6E1A-DA3B-57D1-552DF2DF2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13</xdr:row>
      <xdr:rowOff>125730</xdr:rowOff>
    </xdr:from>
    <xdr:to>
      <xdr:col>19</xdr:col>
      <xdr:colOff>358140</xdr:colOff>
      <xdr:row>27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5AEC4A8-316E-450C-709A-20DD7D5210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3920" y="2526030"/>
              <a:ext cx="462534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784860</xdr:colOff>
      <xdr:row>0</xdr:row>
      <xdr:rowOff>148590</xdr:rowOff>
    </xdr:from>
    <xdr:to>
      <xdr:col>11</xdr:col>
      <xdr:colOff>213360</xdr:colOff>
      <xdr:row>12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E0F2C9-8409-590A-E82B-7095CC954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7DFC-EDCA-4F94-ABF6-8EAEEF472CDD}">
  <dimension ref="B1:C28"/>
  <sheetViews>
    <sheetView tabSelected="1" zoomScaleNormal="100" workbookViewId="0">
      <selection activeCell="U8" sqref="U8"/>
    </sheetView>
  </sheetViews>
  <sheetFormatPr defaultRowHeight="14.4" x14ac:dyDescent="0.3"/>
  <cols>
    <col min="1" max="1" width="3.21875" style="5" customWidth="1"/>
    <col min="2" max="2" width="17.88671875" style="5" customWidth="1"/>
    <col min="3" max="3" width="20.21875" style="5" customWidth="1"/>
    <col min="4" max="4" width="11.5546875" style="5" customWidth="1"/>
    <col min="5" max="19" width="8.88671875" style="5"/>
    <col min="20" max="20" width="9.44140625" style="5" customWidth="1"/>
    <col min="21" max="21" width="12.77734375" style="5" customWidth="1"/>
    <col min="22" max="22" width="20.77734375" style="5" customWidth="1"/>
    <col min="23" max="16384" width="8.88671875" style="5"/>
  </cols>
  <sheetData>
    <row r="1" spans="2:3" ht="12.6" customHeight="1" x14ac:dyDescent="0.3"/>
    <row r="2" spans="2:3" x14ac:dyDescent="0.3">
      <c r="B2" s="10" t="s">
        <v>73</v>
      </c>
      <c r="C2" s="11"/>
    </row>
    <row r="3" spans="2:3" x14ac:dyDescent="0.3">
      <c r="B3" s="9" t="s">
        <v>6</v>
      </c>
      <c r="C3" s="9"/>
    </row>
    <row r="4" spans="2:3" ht="13.8" customHeight="1" x14ac:dyDescent="0.3"/>
    <row r="5" spans="2:3" x14ac:dyDescent="0.3">
      <c r="B5" s="7" t="s">
        <v>79</v>
      </c>
      <c r="C5" s="8">
        <f>INDEX('Additional Details'!B:B,MATCH($B$3,'Additional Details'!A:A,0))</f>
        <v>1001</v>
      </c>
    </row>
    <row r="6" spans="2:3" ht="11.4" customHeight="1" x14ac:dyDescent="0.3"/>
    <row r="7" spans="2:3" x14ac:dyDescent="0.3">
      <c r="B7" s="7" t="s">
        <v>71</v>
      </c>
      <c r="C7" s="7" t="s">
        <v>72</v>
      </c>
    </row>
    <row r="8" spans="2:3" ht="15.6" customHeight="1" x14ac:dyDescent="0.3">
      <c r="B8" s="6" t="s">
        <v>7</v>
      </c>
      <c r="C8" s="6">
        <f t="shared" ref="C8:C13" ca="1" si="0">INDEX(INDIRECT("'"&amp;B8&amp;"'!E:E"),MATCH($B$3,INDIRECT("'"&amp;B8&amp;"'!B:B"),0))</f>
        <v>31</v>
      </c>
    </row>
    <row r="9" spans="2:3" ht="15.6" customHeight="1" x14ac:dyDescent="0.3">
      <c r="B9" s="6" t="s">
        <v>46</v>
      </c>
      <c r="C9" s="6">
        <f t="shared" ca="1" si="0"/>
        <v>52</v>
      </c>
    </row>
    <row r="10" spans="2:3" ht="15.6" customHeight="1" x14ac:dyDescent="0.3">
      <c r="B10" s="6" t="s">
        <v>48</v>
      </c>
      <c r="C10" s="6">
        <f t="shared" ca="1" si="0"/>
        <v>48</v>
      </c>
    </row>
    <row r="11" spans="2:3" ht="15.6" customHeight="1" x14ac:dyDescent="0.3">
      <c r="B11" s="6" t="s">
        <v>50</v>
      </c>
      <c r="C11" s="6">
        <f t="shared" ca="1" si="0"/>
        <v>35</v>
      </c>
    </row>
    <row r="12" spans="2:3" ht="15.6" customHeight="1" x14ac:dyDescent="0.3">
      <c r="B12" s="6" t="s">
        <v>52</v>
      </c>
      <c r="C12" s="6">
        <f t="shared" ca="1" si="0"/>
        <v>69</v>
      </c>
    </row>
    <row r="13" spans="2:3" ht="15.6" customHeight="1" x14ac:dyDescent="0.3">
      <c r="B13" s="6" t="s">
        <v>54</v>
      </c>
      <c r="C13" s="6">
        <f t="shared" ca="1" si="0"/>
        <v>70</v>
      </c>
    </row>
    <row r="14" spans="2:3" ht="10.199999999999999" customHeight="1" x14ac:dyDescent="0.3"/>
    <row r="15" spans="2:3" x14ac:dyDescent="0.3">
      <c r="B15" s="7" t="s">
        <v>62</v>
      </c>
      <c r="C15" s="6">
        <f>INDEX('Additional Details'!H:H,MATCH($B$3,'Additional Details'!A:A,0))</f>
        <v>7</v>
      </c>
    </row>
    <row r="16" spans="2:3" x14ac:dyDescent="0.3">
      <c r="B16" s="7" t="s">
        <v>74</v>
      </c>
      <c r="C16" s="6">
        <f>(30-C15)/30*100</f>
        <v>76.666666666666671</v>
      </c>
    </row>
    <row r="17" spans="2:3" x14ac:dyDescent="0.3">
      <c r="B17" s="7" t="s">
        <v>75</v>
      </c>
      <c r="C17" s="6">
        <f>(C15)/30*100</f>
        <v>23.333333333333332</v>
      </c>
    </row>
    <row r="18" spans="2:3" ht="9.6" customHeight="1" x14ac:dyDescent="0.3"/>
    <row r="19" spans="2:3" x14ac:dyDescent="0.3">
      <c r="B19" s="7" t="s">
        <v>76</v>
      </c>
      <c r="C19" s="6">
        <f>INDEX('Additional Details'!G:G,MATCH($B$3,'Additional Details'!A:A,0))</f>
        <v>19.833722807854699</v>
      </c>
    </row>
    <row r="20" spans="2:3" x14ac:dyDescent="0.3">
      <c r="B20" s="7" t="s">
        <v>77</v>
      </c>
      <c r="C20" s="6">
        <f>AVERAGE(C19)*4</f>
        <v>79.334891231418794</v>
      </c>
    </row>
    <row r="21" spans="2:3" ht="9.6" customHeight="1" x14ac:dyDescent="0.3"/>
    <row r="22" spans="2:3" x14ac:dyDescent="0.3">
      <c r="B22" s="7" t="s">
        <v>71</v>
      </c>
      <c r="C22" s="7" t="s">
        <v>78</v>
      </c>
    </row>
    <row r="23" spans="2:3" x14ac:dyDescent="0.3">
      <c r="B23" s="6" t="s">
        <v>7</v>
      </c>
      <c r="C23" s="6">
        <f ca="1">INDEX(INDIRECT(Biology!C2&amp; "!F:F"), MATCH($B3, INDIRECT(Biology!C2 &amp; "!B:B"), 0))</f>
        <v>0</v>
      </c>
    </row>
    <row r="24" spans="2:3" x14ac:dyDescent="0.3">
      <c r="B24" s="6" t="s">
        <v>46</v>
      </c>
      <c r="C24" s="6">
        <f ca="1">INDEX(INDIRECT(Chemistry!C3&amp; "!F:F"), MATCH($B3, INDIRECT(Chemistry!C3 &amp; "!B:B"), 0))</f>
        <v>0</v>
      </c>
    </row>
    <row r="25" spans="2:3" x14ac:dyDescent="0.3">
      <c r="B25" s="6" t="s">
        <v>48</v>
      </c>
      <c r="C25" s="6">
        <f ca="1">INDEX(INDIRECT(Mathematics!C2&amp; "!F:F"), MATCH($B$3, INDIRECT(Mathematics!C2 &amp; "!B:B"), 0))</f>
        <v>0</v>
      </c>
    </row>
    <row r="26" spans="2:3" x14ac:dyDescent="0.3">
      <c r="B26" s="6" t="s">
        <v>50</v>
      </c>
      <c r="C26" s="6">
        <f ca="1">INDEX(INDIRECT(Philosophy!C2&amp; "!F:F"), MATCH($B3, INDIRECT(Philosophy!C2 &amp; "!B:B"), 0))</f>
        <v>0</v>
      </c>
    </row>
    <row r="27" spans="2:3" x14ac:dyDescent="0.3">
      <c r="B27" s="6" t="s">
        <v>52</v>
      </c>
      <c r="C27" s="6">
        <f ca="1">INDEX(INDIRECT(Physics!C2&amp; "!F:F"), MATCH($B3, INDIRECT(Physics!C2&amp; "!B:B"), 0))</f>
        <v>1</v>
      </c>
    </row>
    <row r="28" spans="2:3" x14ac:dyDescent="0.3">
      <c r="B28" s="6" t="s">
        <v>54</v>
      </c>
      <c r="C28" s="6">
        <f ca="1">INDEX(INDIRECT(Sociology!C2&amp; "!F:F"), MATCH($B3, INDIRECT(Sociology!C2 &amp; "!B:B"), 0))</f>
        <v>1</v>
      </c>
    </row>
  </sheetData>
  <mergeCells count="2">
    <mergeCell ref="B3:C3"/>
    <mergeCell ref="B2:C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B39B52-CA26-427F-BF16-F25D189CD2CD}">
          <x14:formula1>
            <xm:f>'Additional Details'!$A$2:$A$40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898-BD4A-4D69-AD11-16BF270C0729}">
  <dimension ref="A1:P40"/>
  <sheetViews>
    <sheetView workbookViewId="0">
      <selection activeCell="H1" sqref="H1"/>
    </sheetView>
  </sheetViews>
  <sheetFormatPr defaultRowHeight="14.4" x14ac:dyDescent="0.3"/>
  <cols>
    <col min="1" max="1" width="18.88671875" customWidth="1"/>
    <col min="2" max="2" width="11" customWidth="1"/>
    <col min="3" max="6" width="10.88671875" customWidth="1"/>
    <col min="7" max="7" width="15.6640625" customWidth="1"/>
    <col min="8" max="14" width="11.21875" customWidth="1"/>
    <col min="15" max="15" width="15.109375" customWidth="1"/>
    <col min="16" max="16" width="11.44140625" customWidth="1"/>
  </cols>
  <sheetData>
    <row r="1" spans="1:16" x14ac:dyDescent="0.3">
      <c r="A1" s="1" t="s">
        <v>1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s="4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6" x14ac:dyDescent="0.3">
      <c r="A2" t="s">
        <v>6</v>
      </c>
      <c r="B2">
        <v>1001</v>
      </c>
      <c r="C2">
        <v>17</v>
      </c>
      <c r="D2">
        <v>1</v>
      </c>
      <c r="E2">
        <v>0</v>
      </c>
      <c r="F2">
        <v>2</v>
      </c>
      <c r="G2">
        <v>19.833722807854699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2.9291955916676802</v>
      </c>
      <c r="P2">
        <v>2</v>
      </c>
    </row>
    <row r="3" spans="1:16" x14ac:dyDescent="0.3">
      <c r="A3" t="s">
        <v>9</v>
      </c>
      <c r="B3">
        <v>1002</v>
      </c>
      <c r="C3">
        <v>18</v>
      </c>
      <c r="D3">
        <v>0</v>
      </c>
      <c r="E3">
        <v>0</v>
      </c>
      <c r="F3">
        <v>1</v>
      </c>
      <c r="G3">
        <v>15.4087560558467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3.0429148334363698</v>
      </c>
      <c r="P3">
        <v>1</v>
      </c>
    </row>
    <row r="4" spans="1:16" x14ac:dyDescent="0.3">
      <c r="A4" t="s">
        <v>10</v>
      </c>
      <c r="B4">
        <v>1003</v>
      </c>
      <c r="C4">
        <v>15</v>
      </c>
      <c r="D4">
        <v>0</v>
      </c>
      <c r="E4">
        <v>2</v>
      </c>
      <c r="F4">
        <v>3</v>
      </c>
      <c r="G4">
        <v>4.2105697688122596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0.112602254466181</v>
      </c>
      <c r="P4">
        <v>4</v>
      </c>
    </row>
    <row r="5" spans="1:16" x14ac:dyDescent="0.3">
      <c r="A5" t="s">
        <v>11</v>
      </c>
      <c r="B5">
        <v>1004</v>
      </c>
      <c r="C5">
        <v>17</v>
      </c>
      <c r="D5">
        <v>1</v>
      </c>
      <c r="E5">
        <v>0</v>
      </c>
      <c r="F5">
        <v>3</v>
      </c>
      <c r="G5">
        <v>10.028829473958201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2.05421813970294</v>
      </c>
      <c r="P5">
        <v>3</v>
      </c>
    </row>
    <row r="6" spans="1:16" x14ac:dyDescent="0.3">
      <c r="A6" t="s">
        <v>12</v>
      </c>
      <c r="B6">
        <v>1005</v>
      </c>
      <c r="C6">
        <v>17</v>
      </c>
      <c r="D6">
        <v>1</v>
      </c>
      <c r="E6">
        <v>0</v>
      </c>
      <c r="F6">
        <v>2</v>
      </c>
      <c r="G6">
        <v>4.6724952729713296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1.28806118179538</v>
      </c>
      <c r="P6">
        <v>4</v>
      </c>
    </row>
    <row r="7" spans="1:16" x14ac:dyDescent="0.3">
      <c r="A7" t="s">
        <v>13</v>
      </c>
      <c r="B7">
        <v>1006</v>
      </c>
      <c r="C7">
        <v>18</v>
      </c>
      <c r="D7">
        <v>0</v>
      </c>
      <c r="E7">
        <v>0</v>
      </c>
      <c r="F7">
        <v>1</v>
      </c>
      <c r="G7">
        <v>8.1912185452501802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3.0841836144863901</v>
      </c>
      <c r="P7">
        <v>1</v>
      </c>
    </row>
    <row r="8" spans="1:16" x14ac:dyDescent="0.3">
      <c r="A8" t="s">
        <v>14</v>
      </c>
      <c r="B8">
        <v>1007</v>
      </c>
      <c r="C8">
        <v>15</v>
      </c>
      <c r="D8">
        <v>0</v>
      </c>
      <c r="E8">
        <v>1</v>
      </c>
      <c r="F8">
        <v>1</v>
      </c>
      <c r="G8">
        <v>15.601680474699201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>
        <v>2.7482374148915798</v>
      </c>
      <c r="P8">
        <v>2</v>
      </c>
    </row>
    <row r="9" spans="1:16" x14ac:dyDescent="0.3">
      <c r="A9" t="s">
        <v>15</v>
      </c>
      <c r="B9">
        <v>1008</v>
      </c>
      <c r="C9">
        <v>15</v>
      </c>
      <c r="D9">
        <v>1</v>
      </c>
      <c r="E9">
        <v>1</v>
      </c>
      <c r="F9">
        <v>4</v>
      </c>
      <c r="G9">
        <v>15.424496305808001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1.36014271231646</v>
      </c>
      <c r="P9">
        <v>4</v>
      </c>
    </row>
    <row r="10" spans="1:16" x14ac:dyDescent="0.3">
      <c r="A10" t="s">
        <v>16</v>
      </c>
      <c r="B10">
        <v>1009</v>
      </c>
      <c r="C10">
        <v>17</v>
      </c>
      <c r="D10">
        <v>0</v>
      </c>
      <c r="E10">
        <v>0</v>
      </c>
      <c r="F10">
        <v>0</v>
      </c>
      <c r="G10">
        <v>4.5620075580477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>
        <v>2.8968191895135602</v>
      </c>
      <c r="P10">
        <v>2</v>
      </c>
    </row>
    <row r="11" spans="1:16" x14ac:dyDescent="0.3">
      <c r="A11" t="s">
        <v>17</v>
      </c>
      <c r="B11">
        <v>1010</v>
      </c>
      <c r="C11">
        <v>16</v>
      </c>
      <c r="D11">
        <v>1</v>
      </c>
      <c r="E11">
        <v>0</v>
      </c>
      <c r="F11">
        <v>1</v>
      </c>
      <c r="G11">
        <v>18.444466363097199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3.5734742103297599</v>
      </c>
      <c r="P11">
        <v>0</v>
      </c>
    </row>
    <row r="12" spans="1:16" x14ac:dyDescent="0.3">
      <c r="A12" t="s">
        <v>18</v>
      </c>
      <c r="B12">
        <v>1011</v>
      </c>
      <c r="C12">
        <v>17</v>
      </c>
      <c r="D12">
        <v>0</v>
      </c>
      <c r="E12">
        <v>0</v>
      </c>
      <c r="F12">
        <v>1</v>
      </c>
      <c r="G12">
        <v>11.851363655296501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2.14717162501851</v>
      </c>
      <c r="P12">
        <v>3</v>
      </c>
    </row>
    <row r="13" spans="1:16" x14ac:dyDescent="0.3">
      <c r="A13" t="s">
        <v>19</v>
      </c>
      <c r="B13">
        <v>1012</v>
      </c>
      <c r="C13">
        <v>17</v>
      </c>
      <c r="D13">
        <v>0</v>
      </c>
      <c r="E13">
        <v>0</v>
      </c>
      <c r="F13">
        <v>1</v>
      </c>
      <c r="G13">
        <v>7.59848581924029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1.55959451904027</v>
      </c>
      <c r="P13">
        <v>4</v>
      </c>
    </row>
    <row r="14" spans="1:16" x14ac:dyDescent="0.3">
      <c r="A14" t="s">
        <v>20</v>
      </c>
      <c r="B14">
        <v>1013</v>
      </c>
      <c r="C14">
        <v>17</v>
      </c>
      <c r="D14">
        <v>0</v>
      </c>
      <c r="E14">
        <v>1</v>
      </c>
      <c r="F14">
        <v>1</v>
      </c>
      <c r="G14">
        <v>10.038711615617199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>
        <v>1.5200778148748</v>
      </c>
      <c r="P14">
        <v>4</v>
      </c>
    </row>
    <row r="15" spans="1:16" x14ac:dyDescent="0.3">
      <c r="A15" t="s">
        <v>21</v>
      </c>
      <c r="B15">
        <v>1014</v>
      </c>
      <c r="C15">
        <v>17</v>
      </c>
      <c r="D15">
        <v>0</v>
      </c>
      <c r="E15">
        <v>1</v>
      </c>
      <c r="F15">
        <v>2</v>
      </c>
      <c r="G15">
        <v>12.1014250687548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1.75158095833407</v>
      </c>
      <c r="P15">
        <v>4</v>
      </c>
    </row>
    <row r="16" spans="1:16" x14ac:dyDescent="0.3">
      <c r="A16" t="s">
        <v>22</v>
      </c>
      <c r="B16">
        <v>1015</v>
      </c>
      <c r="C16">
        <v>18</v>
      </c>
      <c r="D16">
        <v>1</v>
      </c>
      <c r="E16">
        <v>0</v>
      </c>
      <c r="F16">
        <v>1</v>
      </c>
      <c r="G16">
        <v>11.197810636915699</v>
      </c>
      <c r="H16">
        <v>9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2.3967881171247898</v>
      </c>
      <c r="P16">
        <v>3</v>
      </c>
    </row>
    <row r="17" spans="1:16" x14ac:dyDescent="0.3">
      <c r="A17" t="s">
        <v>23</v>
      </c>
      <c r="B17">
        <v>1016</v>
      </c>
      <c r="C17">
        <v>15</v>
      </c>
      <c r="D17">
        <v>0</v>
      </c>
      <c r="E17">
        <v>0</v>
      </c>
      <c r="F17">
        <v>2</v>
      </c>
      <c r="G17">
        <v>9.7281007107235595</v>
      </c>
      <c r="H17">
        <v>17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1.3415207165346601</v>
      </c>
      <c r="P17">
        <v>4</v>
      </c>
    </row>
    <row r="18" spans="1:16" x14ac:dyDescent="0.3">
      <c r="A18" t="s">
        <v>24</v>
      </c>
      <c r="B18">
        <v>1017</v>
      </c>
      <c r="C18">
        <v>18</v>
      </c>
      <c r="D18">
        <v>0</v>
      </c>
      <c r="E18">
        <v>3</v>
      </c>
      <c r="F18">
        <v>1</v>
      </c>
      <c r="G18">
        <v>10.098656081788</v>
      </c>
      <c r="H18">
        <v>14</v>
      </c>
      <c r="I18">
        <v>0</v>
      </c>
      <c r="J18">
        <v>2</v>
      </c>
      <c r="K18">
        <v>1</v>
      </c>
      <c r="L18">
        <v>1</v>
      </c>
      <c r="M18">
        <v>0</v>
      </c>
      <c r="N18">
        <v>0</v>
      </c>
      <c r="O18">
        <v>2.23217527771597</v>
      </c>
      <c r="P18">
        <v>3</v>
      </c>
    </row>
    <row r="19" spans="1:16" x14ac:dyDescent="0.3">
      <c r="A19" t="s">
        <v>25</v>
      </c>
      <c r="B19">
        <v>1018</v>
      </c>
      <c r="C19">
        <v>18</v>
      </c>
      <c r="D19">
        <v>1</v>
      </c>
      <c r="E19">
        <v>0</v>
      </c>
      <c r="F19">
        <v>0</v>
      </c>
      <c r="G19">
        <v>3.52823820855772</v>
      </c>
      <c r="H19">
        <v>16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>
        <v>1.38440417569403</v>
      </c>
      <c r="P19">
        <v>4</v>
      </c>
    </row>
    <row r="20" spans="1:16" x14ac:dyDescent="0.3">
      <c r="A20" t="s">
        <v>26</v>
      </c>
      <c r="B20">
        <v>1019</v>
      </c>
      <c r="C20">
        <v>18</v>
      </c>
      <c r="D20">
        <v>0</v>
      </c>
      <c r="E20">
        <v>1</v>
      </c>
      <c r="F20">
        <v>3</v>
      </c>
      <c r="G20">
        <v>16.254658086093499</v>
      </c>
      <c r="H20">
        <v>29</v>
      </c>
      <c r="I20">
        <v>0</v>
      </c>
      <c r="J20">
        <v>2</v>
      </c>
      <c r="K20">
        <v>1</v>
      </c>
      <c r="L20">
        <v>0</v>
      </c>
      <c r="M20">
        <v>0</v>
      </c>
      <c r="N20">
        <v>1</v>
      </c>
      <c r="O20">
        <v>0.46955332337986999</v>
      </c>
      <c r="P20">
        <v>4</v>
      </c>
    </row>
    <row r="21" spans="1:16" x14ac:dyDescent="0.3">
      <c r="A21" t="s">
        <v>27</v>
      </c>
      <c r="B21">
        <v>1020</v>
      </c>
      <c r="C21">
        <v>17</v>
      </c>
      <c r="D21">
        <v>0</v>
      </c>
      <c r="E21">
        <v>0</v>
      </c>
      <c r="F21">
        <v>1</v>
      </c>
      <c r="G21">
        <v>10.835206398820301</v>
      </c>
      <c r="H21">
        <v>9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>
        <v>2.3957840945306899</v>
      </c>
      <c r="P21">
        <v>3</v>
      </c>
    </row>
    <row r="22" spans="1:16" x14ac:dyDescent="0.3">
      <c r="A22" t="s">
        <v>28</v>
      </c>
      <c r="B22">
        <v>1021</v>
      </c>
      <c r="C22">
        <v>16</v>
      </c>
      <c r="D22">
        <v>1</v>
      </c>
      <c r="E22">
        <v>0</v>
      </c>
      <c r="F22">
        <v>3</v>
      </c>
      <c r="G22">
        <v>2.6215972340940601</v>
      </c>
      <c r="H22">
        <v>2</v>
      </c>
      <c r="I22">
        <v>0</v>
      </c>
      <c r="J22">
        <v>3</v>
      </c>
      <c r="K22">
        <v>0</v>
      </c>
      <c r="L22">
        <v>0</v>
      </c>
      <c r="M22">
        <v>0</v>
      </c>
      <c r="N22">
        <v>1</v>
      </c>
      <c r="O22">
        <v>2.7784112999206498</v>
      </c>
      <c r="P22">
        <v>2</v>
      </c>
    </row>
    <row r="23" spans="1:16" x14ac:dyDescent="0.3">
      <c r="A23" t="s">
        <v>29</v>
      </c>
      <c r="B23">
        <v>1022</v>
      </c>
      <c r="C23">
        <v>15</v>
      </c>
      <c r="D23">
        <v>0</v>
      </c>
      <c r="E23">
        <v>0</v>
      </c>
      <c r="F23">
        <v>2</v>
      </c>
      <c r="G23">
        <v>15.3231420316555</v>
      </c>
      <c r="H23">
        <v>25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0.34689403670501401</v>
      </c>
      <c r="P23">
        <v>4</v>
      </c>
    </row>
    <row r="24" spans="1:16" x14ac:dyDescent="0.3">
      <c r="A24" t="s">
        <v>30</v>
      </c>
      <c r="B24">
        <v>1023</v>
      </c>
      <c r="C24">
        <v>16</v>
      </c>
      <c r="D24">
        <v>1</v>
      </c>
      <c r="E24">
        <v>1</v>
      </c>
      <c r="F24">
        <v>0</v>
      </c>
      <c r="G24">
        <v>18.648879567546999</v>
      </c>
      <c r="H24">
        <v>29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0.31254623052535402</v>
      </c>
      <c r="P24">
        <v>4</v>
      </c>
    </row>
    <row r="25" spans="1:16" x14ac:dyDescent="0.3">
      <c r="A25" t="s">
        <v>31</v>
      </c>
      <c r="B25">
        <v>1024</v>
      </c>
      <c r="C25">
        <v>18</v>
      </c>
      <c r="D25">
        <v>1</v>
      </c>
      <c r="E25">
        <v>3</v>
      </c>
      <c r="F25">
        <v>4</v>
      </c>
      <c r="G25">
        <v>18.946137984739199</v>
      </c>
      <c r="H25">
        <v>20</v>
      </c>
      <c r="I25">
        <v>0</v>
      </c>
      <c r="J25">
        <v>2</v>
      </c>
      <c r="K25">
        <v>1</v>
      </c>
      <c r="L25">
        <v>0</v>
      </c>
      <c r="M25">
        <v>0</v>
      </c>
      <c r="N25">
        <v>0</v>
      </c>
      <c r="O25">
        <v>1.7701318767799701</v>
      </c>
      <c r="P25">
        <v>4</v>
      </c>
    </row>
    <row r="26" spans="1:16" x14ac:dyDescent="0.3">
      <c r="A26" t="s">
        <v>32</v>
      </c>
      <c r="B26">
        <v>1025</v>
      </c>
      <c r="C26">
        <v>18</v>
      </c>
      <c r="D26">
        <v>1</v>
      </c>
      <c r="E26">
        <v>0</v>
      </c>
      <c r="F26">
        <v>1</v>
      </c>
      <c r="G26">
        <v>7.3803546482234497</v>
      </c>
      <c r="H26">
        <v>15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1.5051556220362801</v>
      </c>
      <c r="P26">
        <v>4</v>
      </c>
    </row>
    <row r="27" spans="1:16" x14ac:dyDescent="0.3">
      <c r="A27" t="s">
        <v>33</v>
      </c>
      <c r="B27">
        <v>1026</v>
      </c>
      <c r="C27">
        <v>16</v>
      </c>
      <c r="D27">
        <v>1</v>
      </c>
      <c r="E27">
        <v>0</v>
      </c>
      <c r="F27">
        <v>3</v>
      </c>
      <c r="G27">
        <v>2.7103374712150798</v>
      </c>
      <c r="H27">
        <v>5</v>
      </c>
      <c r="I27">
        <v>0</v>
      </c>
      <c r="J27">
        <v>4</v>
      </c>
      <c r="K27">
        <v>0</v>
      </c>
      <c r="L27">
        <v>0</v>
      </c>
      <c r="M27">
        <v>1</v>
      </c>
      <c r="N27">
        <v>0</v>
      </c>
      <c r="O27">
        <v>2.9778519183157401</v>
      </c>
      <c r="P27">
        <v>2</v>
      </c>
    </row>
    <row r="28" spans="1:16" x14ac:dyDescent="0.3">
      <c r="A28" t="s">
        <v>34</v>
      </c>
      <c r="B28">
        <v>1027</v>
      </c>
      <c r="C28">
        <v>16</v>
      </c>
      <c r="D28">
        <v>0</v>
      </c>
      <c r="E28">
        <v>0</v>
      </c>
      <c r="F28">
        <v>1</v>
      </c>
      <c r="G28">
        <v>10.367992532661299</v>
      </c>
      <c r="H28">
        <v>2</v>
      </c>
      <c r="I28">
        <v>0</v>
      </c>
      <c r="J28">
        <v>2</v>
      </c>
      <c r="K28">
        <v>0</v>
      </c>
      <c r="L28">
        <v>1</v>
      </c>
      <c r="M28">
        <v>0</v>
      </c>
      <c r="N28">
        <v>0</v>
      </c>
      <c r="O28">
        <v>2.9487176719119201</v>
      </c>
      <c r="P28">
        <v>2</v>
      </c>
    </row>
    <row r="29" spans="1:16" x14ac:dyDescent="0.3">
      <c r="A29" t="s">
        <v>35</v>
      </c>
      <c r="B29">
        <v>1028</v>
      </c>
      <c r="C29">
        <v>16</v>
      </c>
      <c r="D29">
        <v>1</v>
      </c>
      <c r="E29">
        <v>0</v>
      </c>
      <c r="F29">
        <v>3</v>
      </c>
      <c r="G29">
        <v>2.2521845869844102</v>
      </c>
      <c r="H29">
        <v>8</v>
      </c>
      <c r="I29">
        <v>0</v>
      </c>
      <c r="J29">
        <v>3</v>
      </c>
      <c r="K29">
        <v>0</v>
      </c>
      <c r="L29">
        <v>0</v>
      </c>
      <c r="M29">
        <v>1</v>
      </c>
      <c r="N29">
        <v>0</v>
      </c>
      <c r="O29">
        <v>2.14520472046719</v>
      </c>
      <c r="P29">
        <v>3</v>
      </c>
    </row>
    <row r="30" spans="1:16" x14ac:dyDescent="0.3">
      <c r="A30" t="s">
        <v>36</v>
      </c>
      <c r="B30">
        <v>1029</v>
      </c>
      <c r="C30">
        <v>18</v>
      </c>
      <c r="D30">
        <v>0</v>
      </c>
      <c r="E30">
        <v>0</v>
      </c>
      <c r="F30">
        <v>0</v>
      </c>
      <c r="G30">
        <v>18.679748370252302</v>
      </c>
      <c r="H30">
        <v>10</v>
      </c>
      <c r="I30">
        <v>0</v>
      </c>
      <c r="J30">
        <v>3</v>
      </c>
      <c r="K30">
        <v>1</v>
      </c>
      <c r="L30">
        <v>0</v>
      </c>
      <c r="M30">
        <v>0</v>
      </c>
      <c r="N30">
        <v>0</v>
      </c>
      <c r="O30">
        <v>2.8548039289813101</v>
      </c>
      <c r="P30">
        <v>2</v>
      </c>
    </row>
    <row r="31" spans="1:16" x14ac:dyDescent="0.3">
      <c r="A31" t="s">
        <v>37</v>
      </c>
      <c r="B31">
        <v>1030</v>
      </c>
      <c r="C31">
        <v>18</v>
      </c>
      <c r="D31">
        <v>0</v>
      </c>
      <c r="E31">
        <v>0</v>
      </c>
      <c r="F31">
        <v>2</v>
      </c>
      <c r="G31">
        <v>3.6715925471029198</v>
      </c>
      <c r="H31">
        <v>20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1.51944172581513</v>
      </c>
      <c r="P31">
        <v>4</v>
      </c>
    </row>
    <row r="32" spans="1:16" x14ac:dyDescent="0.3">
      <c r="A32" t="s">
        <v>38</v>
      </c>
      <c r="B32">
        <v>1031</v>
      </c>
      <c r="C32">
        <v>15</v>
      </c>
      <c r="D32">
        <v>0</v>
      </c>
      <c r="E32">
        <v>2</v>
      </c>
      <c r="F32">
        <v>2</v>
      </c>
      <c r="G32">
        <v>5.0553171990232801</v>
      </c>
      <c r="H32">
        <v>12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1.7271203095223999</v>
      </c>
      <c r="P32">
        <v>4</v>
      </c>
    </row>
    <row r="33" spans="1:16" x14ac:dyDescent="0.3">
      <c r="A33" t="s">
        <v>39</v>
      </c>
      <c r="B33">
        <v>1032</v>
      </c>
      <c r="C33">
        <v>15</v>
      </c>
      <c r="D33">
        <v>0</v>
      </c>
      <c r="E33">
        <v>0</v>
      </c>
      <c r="F33">
        <v>3</v>
      </c>
      <c r="G33">
        <v>8.1327305376994001</v>
      </c>
      <c r="H33">
        <v>17</v>
      </c>
      <c r="I33">
        <v>0</v>
      </c>
      <c r="J33">
        <v>4</v>
      </c>
      <c r="K33">
        <v>0</v>
      </c>
      <c r="L33">
        <v>0</v>
      </c>
      <c r="M33">
        <v>0</v>
      </c>
      <c r="N33">
        <v>1</v>
      </c>
      <c r="O33">
        <v>1.8475354711387899</v>
      </c>
      <c r="P33">
        <v>4</v>
      </c>
    </row>
    <row r="34" spans="1:16" x14ac:dyDescent="0.3">
      <c r="A34" t="s">
        <v>40</v>
      </c>
      <c r="B34">
        <v>1033</v>
      </c>
      <c r="C34">
        <v>18</v>
      </c>
      <c r="D34">
        <v>0</v>
      </c>
      <c r="E34">
        <v>0</v>
      </c>
      <c r="F34">
        <v>3</v>
      </c>
      <c r="G34">
        <v>7.6632893711825103</v>
      </c>
      <c r="H34">
        <v>25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0.38461697285648699</v>
      </c>
      <c r="P34">
        <v>4</v>
      </c>
    </row>
    <row r="35" spans="1:16" x14ac:dyDescent="0.3">
      <c r="A35" t="s">
        <v>41</v>
      </c>
      <c r="B35">
        <v>1034</v>
      </c>
      <c r="C35">
        <v>16</v>
      </c>
      <c r="D35">
        <v>0</v>
      </c>
      <c r="E35">
        <v>3</v>
      </c>
      <c r="F35">
        <v>3</v>
      </c>
      <c r="G35">
        <v>15.893257847957701</v>
      </c>
      <c r="H35">
        <v>21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0.94940609779728002</v>
      </c>
      <c r="P35">
        <v>4</v>
      </c>
    </row>
    <row r="36" spans="1:16" x14ac:dyDescent="0.3">
      <c r="A36" t="s">
        <v>42</v>
      </c>
      <c r="B36">
        <v>1035</v>
      </c>
      <c r="C36">
        <v>16</v>
      </c>
      <c r="D36">
        <v>0</v>
      </c>
      <c r="E36">
        <v>0</v>
      </c>
      <c r="F36">
        <v>3</v>
      </c>
      <c r="G36">
        <v>9.1263364110192402</v>
      </c>
      <c r="H36">
        <v>27</v>
      </c>
      <c r="I36">
        <v>1</v>
      </c>
      <c r="J36">
        <v>2</v>
      </c>
      <c r="K36">
        <v>1</v>
      </c>
      <c r="L36">
        <v>1</v>
      </c>
      <c r="M36">
        <v>0</v>
      </c>
      <c r="N36">
        <v>0</v>
      </c>
      <c r="O36">
        <v>1.14095941842033</v>
      </c>
      <c r="P36">
        <v>4</v>
      </c>
    </row>
    <row r="37" spans="1:16" x14ac:dyDescent="0.3">
      <c r="A37" t="s">
        <v>43</v>
      </c>
      <c r="B37">
        <v>1036</v>
      </c>
      <c r="C37">
        <v>15</v>
      </c>
      <c r="D37">
        <v>0</v>
      </c>
      <c r="E37">
        <v>3</v>
      </c>
      <c r="F37">
        <v>1</v>
      </c>
      <c r="G37">
        <v>3.4153652000667298</v>
      </c>
      <c r="H37">
        <v>23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0.26147226005075203</v>
      </c>
      <c r="P37">
        <v>4</v>
      </c>
    </row>
    <row r="38" spans="1:16" x14ac:dyDescent="0.3">
      <c r="A38" t="s">
        <v>44</v>
      </c>
      <c r="B38">
        <v>1037</v>
      </c>
      <c r="C38">
        <v>18</v>
      </c>
      <c r="D38">
        <v>0</v>
      </c>
      <c r="E38">
        <v>0</v>
      </c>
      <c r="F38">
        <v>1</v>
      </c>
      <c r="G38">
        <v>5.3441979097214798</v>
      </c>
      <c r="H38">
        <v>26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0.21828485682103099</v>
      </c>
      <c r="P38">
        <v>4</v>
      </c>
    </row>
    <row r="39" spans="1:16" x14ac:dyDescent="0.3">
      <c r="A39" t="s">
        <v>45</v>
      </c>
      <c r="B39">
        <v>1038</v>
      </c>
      <c r="C39">
        <v>15</v>
      </c>
      <c r="D39">
        <v>0</v>
      </c>
      <c r="E39">
        <v>2</v>
      </c>
      <c r="F39">
        <v>1</v>
      </c>
      <c r="G39">
        <v>10.1822677037504</v>
      </c>
      <c r="H39">
        <v>21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1.0677635510419701</v>
      </c>
      <c r="P39">
        <v>4</v>
      </c>
    </row>
    <row r="40" spans="1:16" x14ac:dyDescent="0.3">
      <c r="A40" t="s">
        <v>56</v>
      </c>
      <c r="B40">
        <v>1039</v>
      </c>
      <c r="C40">
        <v>15</v>
      </c>
      <c r="D40">
        <v>1</v>
      </c>
      <c r="E40">
        <v>1</v>
      </c>
      <c r="F40">
        <v>1</v>
      </c>
      <c r="G40">
        <v>2.9490783485226899</v>
      </c>
      <c r="H40">
        <v>3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3.01890585842796</v>
      </c>
      <c r="P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4BC-DB21-45D0-B0D6-D3202CDB2BA8}">
  <dimension ref="A1:F39"/>
  <sheetViews>
    <sheetView workbookViewId="0">
      <selection activeCell="A2" sqref="A2"/>
    </sheetView>
  </sheetViews>
  <sheetFormatPr defaultRowHeight="14.4" x14ac:dyDescent="0.3"/>
  <cols>
    <col min="2" max="2" width="15.21875" customWidth="1"/>
    <col min="3" max="3" width="12.109375" customWidth="1"/>
    <col min="4" max="4" width="20.6640625" customWidth="1"/>
    <col min="5" max="6" width="18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3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3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3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3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C5E-7E4E-4202-843B-3372A88CC9B4}">
  <dimension ref="A1:F28"/>
  <sheetViews>
    <sheetView workbookViewId="0">
      <selection activeCell="I13" sqref="I13"/>
    </sheetView>
  </sheetViews>
  <sheetFormatPr defaultRowHeight="14.4" x14ac:dyDescent="0.3"/>
  <cols>
    <col min="1" max="1" width="12.77734375" customWidth="1"/>
    <col min="2" max="7" width="19.332031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46</v>
      </c>
      <c r="D2" t="s">
        <v>47</v>
      </c>
      <c r="E2" s="3">
        <v>52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46</v>
      </c>
      <c r="D3" t="s">
        <v>47</v>
      </c>
      <c r="E3" s="3">
        <v>20</v>
      </c>
      <c r="F3">
        <f t="shared" ref="F3:F28" si="0">IF(E3&gt;=60,1,0)</f>
        <v>0</v>
      </c>
    </row>
    <row r="4" spans="1:6" x14ac:dyDescent="0.3">
      <c r="A4">
        <v>1003</v>
      </c>
      <c r="B4" t="s">
        <v>10</v>
      </c>
      <c r="C4" t="s">
        <v>46</v>
      </c>
      <c r="D4" t="s">
        <v>47</v>
      </c>
      <c r="E4" s="3">
        <v>32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46</v>
      </c>
      <c r="D5" t="s">
        <v>47</v>
      </c>
      <c r="E5" s="3">
        <v>19</v>
      </c>
      <c r="F5">
        <f t="shared" si="0"/>
        <v>0</v>
      </c>
    </row>
    <row r="6" spans="1:6" x14ac:dyDescent="0.3">
      <c r="A6">
        <v>1005</v>
      </c>
      <c r="B6" t="s">
        <v>12</v>
      </c>
      <c r="C6" t="s">
        <v>46</v>
      </c>
      <c r="D6" t="s">
        <v>47</v>
      </c>
      <c r="E6" s="3">
        <v>61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46</v>
      </c>
      <c r="D7" t="s">
        <v>47</v>
      </c>
      <c r="E7" s="3">
        <v>34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46</v>
      </c>
      <c r="D8" t="s">
        <v>47</v>
      </c>
      <c r="E8" s="3">
        <v>9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46</v>
      </c>
      <c r="D9" t="s">
        <v>47</v>
      </c>
      <c r="E9" s="3">
        <v>22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46</v>
      </c>
      <c r="D10" t="s">
        <v>47</v>
      </c>
      <c r="E10" s="3">
        <v>46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46</v>
      </c>
      <c r="D11" t="s">
        <v>47</v>
      </c>
      <c r="E11" s="3">
        <v>100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46</v>
      </c>
      <c r="D12" t="s">
        <v>47</v>
      </c>
      <c r="E12" s="3">
        <v>92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46</v>
      </c>
      <c r="D13" t="s">
        <v>47</v>
      </c>
      <c r="E13" s="3">
        <v>1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46</v>
      </c>
      <c r="D14" t="s">
        <v>47</v>
      </c>
      <c r="E14" s="3">
        <v>84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46</v>
      </c>
      <c r="D15" t="s">
        <v>47</v>
      </c>
      <c r="E15" s="3">
        <v>63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46</v>
      </c>
      <c r="D16" t="s">
        <v>47</v>
      </c>
      <c r="E16" s="3">
        <v>59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46</v>
      </c>
      <c r="D17" t="s">
        <v>47</v>
      </c>
      <c r="E17" s="3">
        <v>61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46</v>
      </c>
      <c r="D18" t="s">
        <v>47</v>
      </c>
      <c r="E18" s="3">
        <v>47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46</v>
      </c>
      <c r="D19" t="s">
        <v>47</v>
      </c>
      <c r="E19" s="3">
        <v>27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46</v>
      </c>
      <c r="D20" t="s">
        <v>47</v>
      </c>
      <c r="E20" s="3">
        <v>99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46</v>
      </c>
      <c r="D21" t="s">
        <v>47</v>
      </c>
      <c r="E21" s="3">
        <v>84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46</v>
      </c>
      <c r="D22" t="s">
        <v>47</v>
      </c>
      <c r="E22" s="3">
        <v>95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46</v>
      </c>
      <c r="D23" t="s">
        <v>47</v>
      </c>
      <c r="E23" s="3">
        <v>50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46</v>
      </c>
      <c r="D24" t="s">
        <v>47</v>
      </c>
      <c r="E24" s="3">
        <v>27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46</v>
      </c>
      <c r="D25" t="s">
        <v>47</v>
      </c>
      <c r="E25" s="3">
        <v>39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46</v>
      </c>
      <c r="D26" t="s">
        <v>47</v>
      </c>
      <c r="E26" s="3">
        <v>71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46</v>
      </c>
      <c r="D27" t="s">
        <v>47</v>
      </c>
      <c r="E27" s="3">
        <v>83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46</v>
      </c>
      <c r="D28" t="s">
        <v>47</v>
      </c>
      <c r="E28" s="3">
        <v>38</v>
      </c>
      <c r="F28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7BF-BA4A-4BAA-BD22-9359768BF970}">
  <dimension ref="A1:F38"/>
  <sheetViews>
    <sheetView workbookViewId="0">
      <selection activeCell="I11" sqref="I11"/>
    </sheetView>
  </sheetViews>
  <sheetFormatPr defaultRowHeight="14.4" x14ac:dyDescent="0.3"/>
  <cols>
    <col min="1" max="1" width="12" customWidth="1"/>
    <col min="2" max="7" width="18.886718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48</v>
      </c>
      <c r="D2" t="s">
        <v>49</v>
      </c>
      <c r="E2" s="3">
        <v>48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48</v>
      </c>
      <c r="D3" t="s">
        <v>49</v>
      </c>
      <c r="E3" s="3">
        <v>5</v>
      </c>
      <c r="F3">
        <f t="shared" ref="F3:F38" si="0">IF(E3&gt;=60,1,0)</f>
        <v>0</v>
      </c>
    </row>
    <row r="4" spans="1:6" x14ac:dyDescent="0.3">
      <c r="A4">
        <v>1003</v>
      </c>
      <c r="B4" t="s">
        <v>10</v>
      </c>
      <c r="C4" t="s">
        <v>48</v>
      </c>
      <c r="D4" t="s">
        <v>49</v>
      </c>
      <c r="E4" s="3">
        <v>7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48</v>
      </c>
      <c r="D5" t="s">
        <v>49</v>
      </c>
      <c r="E5" s="3">
        <v>70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48</v>
      </c>
      <c r="D6" t="s">
        <v>49</v>
      </c>
      <c r="E6" s="3">
        <v>73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48</v>
      </c>
      <c r="D7" t="s">
        <v>49</v>
      </c>
      <c r="E7" s="3">
        <v>59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48</v>
      </c>
      <c r="D8" t="s">
        <v>49</v>
      </c>
      <c r="E8" s="3">
        <v>23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48</v>
      </c>
      <c r="D9" t="s">
        <v>49</v>
      </c>
      <c r="E9" s="3">
        <v>72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48</v>
      </c>
      <c r="D10" t="s">
        <v>49</v>
      </c>
      <c r="E10" s="3">
        <v>31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48</v>
      </c>
      <c r="D11" t="s">
        <v>49</v>
      </c>
      <c r="E11" s="3">
        <v>74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48</v>
      </c>
      <c r="D12" t="s">
        <v>49</v>
      </c>
      <c r="E12" s="3">
        <v>91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48</v>
      </c>
      <c r="D13" t="s">
        <v>49</v>
      </c>
      <c r="E13" s="3">
        <v>53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48</v>
      </c>
      <c r="D14" t="s">
        <v>49</v>
      </c>
      <c r="E14" s="3">
        <v>56</v>
      </c>
      <c r="F14">
        <f t="shared" si="0"/>
        <v>0</v>
      </c>
    </row>
    <row r="15" spans="1:6" x14ac:dyDescent="0.3">
      <c r="A15">
        <v>1014</v>
      </c>
      <c r="B15" t="s">
        <v>21</v>
      </c>
      <c r="C15" t="s">
        <v>48</v>
      </c>
      <c r="D15" t="s">
        <v>49</v>
      </c>
      <c r="E15" s="3">
        <v>53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48</v>
      </c>
      <c r="D16" t="s">
        <v>49</v>
      </c>
      <c r="E16" s="3">
        <v>100</v>
      </c>
      <c r="F16">
        <f t="shared" si="0"/>
        <v>1</v>
      </c>
    </row>
    <row r="17" spans="1:6" x14ac:dyDescent="0.3">
      <c r="A17">
        <v>1016</v>
      </c>
      <c r="B17" t="s">
        <v>23</v>
      </c>
      <c r="C17" t="s">
        <v>48</v>
      </c>
      <c r="D17" t="s">
        <v>49</v>
      </c>
      <c r="E17" s="3">
        <v>50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48</v>
      </c>
      <c r="D18" t="s">
        <v>49</v>
      </c>
      <c r="E18" s="3">
        <v>60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48</v>
      </c>
      <c r="D19" t="s">
        <v>49</v>
      </c>
      <c r="E19" s="3">
        <v>38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48</v>
      </c>
      <c r="D20" t="s">
        <v>49</v>
      </c>
      <c r="E20" s="3">
        <v>33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48</v>
      </c>
      <c r="D21" t="s">
        <v>49</v>
      </c>
      <c r="E21" s="3">
        <v>75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48</v>
      </c>
      <c r="D22" t="s">
        <v>49</v>
      </c>
      <c r="E22" s="3">
        <v>74</v>
      </c>
      <c r="F22">
        <f t="shared" si="0"/>
        <v>1</v>
      </c>
    </row>
    <row r="23" spans="1:6" x14ac:dyDescent="0.3">
      <c r="A23">
        <v>1022</v>
      </c>
      <c r="B23" t="s">
        <v>29</v>
      </c>
      <c r="C23" t="s">
        <v>48</v>
      </c>
      <c r="D23" t="s">
        <v>49</v>
      </c>
      <c r="E23" s="3">
        <v>7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48</v>
      </c>
      <c r="D24" t="s">
        <v>49</v>
      </c>
      <c r="E24" s="3">
        <v>6</v>
      </c>
      <c r="F24">
        <f t="shared" si="0"/>
        <v>0</v>
      </c>
    </row>
    <row r="25" spans="1:6" x14ac:dyDescent="0.3">
      <c r="A25">
        <v>1024</v>
      </c>
      <c r="B25" t="s">
        <v>31</v>
      </c>
      <c r="C25" t="s">
        <v>48</v>
      </c>
      <c r="D25" t="s">
        <v>49</v>
      </c>
      <c r="E25" s="3">
        <v>40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48</v>
      </c>
      <c r="D26" t="s">
        <v>49</v>
      </c>
      <c r="E26" s="3">
        <v>14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48</v>
      </c>
      <c r="D27" t="s">
        <v>49</v>
      </c>
      <c r="E27" s="3">
        <v>16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48</v>
      </c>
      <c r="D28" t="s">
        <v>49</v>
      </c>
      <c r="E28" s="3">
        <v>31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48</v>
      </c>
      <c r="D29" t="s">
        <v>49</v>
      </c>
      <c r="E29" s="3">
        <v>72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48</v>
      </c>
      <c r="D30" t="s">
        <v>49</v>
      </c>
      <c r="E30" s="3">
        <v>48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48</v>
      </c>
      <c r="D31" t="s">
        <v>49</v>
      </c>
      <c r="E31" s="3">
        <v>53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48</v>
      </c>
      <c r="D32" t="s">
        <v>49</v>
      </c>
      <c r="E32" s="3">
        <v>67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48</v>
      </c>
      <c r="D33" t="s">
        <v>49</v>
      </c>
      <c r="E33" s="3">
        <v>23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48</v>
      </c>
      <c r="D34" t="s">
        <v>49</v>
      </c>
      <c r="E34" s="3">
        <v>90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48</v>
      </c>
      <c r="D35" t="s">
        <v>49</v>
      </c>
      <c r="E35" s="3">
        <v>87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48</v>
      </c>
      <c r="D36" t="s">
        <v>49</v>
      </c>
      <c r="E36" s="3">
        <v>40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48</v>
      </c>
      <c r="D37" t="s">
        <v>49</v>
      </c>
      <c r="E37" s="3">
        <v>26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48</v>
      </c>
      <c r="D38" t="s">
        <v>49</v>
      </c>
      <c r="E38" s="3">
        <v>51</v>
      </c>
      <c r="F38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A32-5843-4589-B601-632689CECE57}">
  <dimension ref="A1:F39"/>
  <sheetViews>
    <sheetView workbookViewId="0">
      <selection activeCell="I13" sqref="I13"/>
    </sheetView>
  </sheetViews>
  <sheetFormatPr defaultRowHeight="14.4" x14ac:dyDescent="0.3"/>
  <cols>
    <col min="1" max="1" width="14.6640625" customWidth="1"/>
    <col min="2" max="7" width="19.441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50</v>
      </c>
      <c r="D2" t="s">
        <v>51</v>
      </c>
      <c r="E2" s="3">
        <v>35</v>
      </c>
      <c r="F2">
        <f>IF(E2&gt;=60,1,0)</f>
        <v>0</v>
      </c>
    </row>
    <row r="3" spans="1:6" x14ac:dyDescent="0.3">
      <c r="A3">
        <v>1002</v>
      </c>
      <c r="B3" t="s">
        <v>9</v>
      </c>
      <c r="C3" t="s">
        <v>50</v>
      </c>
      <c r="D3" t="s">
        <v>51</v>
      </c>
      <c r="E3" s="3">
        <v>66</v>
      </c>
      <c r="F3">
        <f t="shared" ref="F3:F39" si="0">IF(E3&gt;=60,1,0)</f>
        <v>1</v>
      </c>
    </row>
    <row r="4" spans="1:6" x14ac:dyDescent="0.3">
      <c r="A4">
        <v>1003</v>
      </c>
      <c r="B4" t="s">
        <v>10</v>
      </c>
      <c r="C4" t="s">
        <v>50</v>
      </c>
      <c r="D4" t="s">
        <v>51</v>
      </c>
      <c r="E4" s="3">
        <v>29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50</v>
      </c>
      <c r="D5" t="s">
        <v>51</v>
      </c>
      <c r="E5" s="3">
        <v>91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50</v>
      </c>
      <c r="D6" t="s">
        <v>51</v>
      </c>
      <c r="E6" s="3">
        <v>63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50</v>
      </c>
      <c r="D7" t="s">
        <v>51</v>
      </c>
      <c r="E7" s="3">
        <v>16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50</v>
      </c>
      <c r="D8" t="s">
        <v>51</v>
      </c>
      <c r="E8" s="3">
        <v>10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50</v>
      </c>
      <c r="D9" t="s">
        <v>51</v>
      </c>
      <c r="E9" s="3">
        <v>23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50</v>
      </c>
      <c r="D10" t="s">
        <v>51</v>
      </c>
      <c r="E10" s="3">
        <v>72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50</v>
      </c>
      <c r="D11" t="s">
        <v>51</v>
      </c>
      <c r="E11" s="3">
        <v>93</v>
      </c>
      <c r="F11">
        <f t="shared" si="0"/>
        <v>1</v>
      </c>
    </row>
    <row r="12" spans="1:6" x14ac:dyDescent="0.3">
      <c r="A12">
        <v>1011</v>
      </c>
      <c r="B12" t="s">
        <v>18</v>
      </c>
      <c r="C12" t="s">
        <v>50</v>
      </c>
      <c r="D12" t="s">
        <v>51</v>
      </c>
      <c r="E12" s="3">
        <v>10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50</v>
      </c>
      <c r="D13" t="s">
        <v>51</v>
      </c>
      <c r="E13" s="3">
        <v>99</v>
      </c>
      <c r="F13">
        <f t="shared" si="0"/>
        <v>1</v>
      </c>
    </row>
    <row r="14" spans="1:6" x14ac:dyDescent="0.3">
      <c r="A14">
        <v>1013</v>
      </c>
      <c r="B14" t="s">
        <v>20</v>
      </c>
      <c r="C14" t="s">
        <v>50</v>
      </c>
      <c r="D14" t="s">
        <v>51</v>
      </c>
      <c r="E14" s="3">
        <v>78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50</v>
      </c>
      <c r="D15" t="s">
        <v>51</v>
      </c>
      <c r="E15" s="3">
        <v>81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50</v>
      </c>
      <c r="D16" t="s">
        <v>51</v>
      </c>
      <c r="E16" s="3">
        <v>40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50</v>
      </c>
      <c r="D17" t="s">
        <v>51</v>
      </c>
      <c r="E17" s="3">
        <v>23</v>
      </c>
      <c r="F17">
        <f t="shared" si="0"/>
        <v>0</v>
      </c>
    </row>
    <row r="18" spans="1:6" x14ac:dyDescent="0.3">
      <c r="A18">
        <v>1017</v>
      </c>
      <c r="B18" t="s">
        <v>24</v>
      </c>
      <c r="C18" t="s">
        <v>50</v>
      </c>
      <c r="D18" t="s">
        <v>51</v>
      </c>
      <c r="E18" s="3">
        <v>65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50</v>
      </c>
      <c r="D19" t="s">
        <v>51</v>
      </c>
      <c r="E19" s="3">
        <v>24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50</v>
      </c>
      <c r="D20" t="s">
        <v>51</v>
      </c>
      <c r="E20" s="3">
        <v>62</v>
      </c>
      <c r="F20">
        <f t="shared" si="0"/>
        <v>1</v>
      </c>
    </row>
    <row r="21" spans="1:6" x14ac:dyDescent="0.3">
      <c r="A21">
        <v>1020</v>
      </c>
      <c r="B21" t="s">
        <v>27</v>
      </c>
      <c r="C21" t="s">
        <v>50</v>
      </c>
      <c r="D21" t="s">
        <v>51</v>
      </c>
      <c r="E21" s="3">
        <v>41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50</v>
      </c>
      <c r="D22" t="s">
        <v>51</v>
      </c>
      <c r="E22" s="3">
        <v>42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50</v>
      </c>
      <c r="D23" t="s">
        <v>51</v>
      </c>
      <c r="E23" s="3">
        <v>8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50</v>
      </c>
      <c r="D24" t="s">
        <v>51</v>
      </c>
      <c r="E24" s="3">
        <v>91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50</v>
      </c>
      <c r="D25" t="s">
        <v>51</v>
      </c>
      <c r="E25" s="3">
        <v>69</v>
      </c>
      <c r="F25">
        <f t="shared" si="0"/>
        <v>1</v>
      </c>
    </row>
    <row r="26" spans="1:6" x14ac:dyDescent="0.3">
      <c r="A26">
        <v>1025</v>
      </c>
      <c r="B26" t="s">
        <v>32</v>
      </c>
      <c r="C26" t="s">
        <v>50</v>
      </c>
      <c r="D26" t="s">
        <v>51</v>
      </c>
      <c r="E26" s="3">
        <v>47</v>
      </c>
      <c r="F26">
        <f t="shared" si="0"/>
        <v>0</v>
      </c>
    </row>
    <row r="27" spans="1:6" x14ac:dyDescent="0.3">
      <c r="A27">
        <v>1026</v>
      </c>
      <c r="B27" t="s">
        <v>33</v>
      </c>
      <c r="C27" t="s">
        <v>50</v>
      </c>
      <c r="D27" t="s">
        <v>51</v>
      </c>
      <c r="E27" s="3">
        <v>0</v>
      </c>
      <c r="F27">
        <f t="shared" si="0"/>
        <v>0</v>
      </c>
    </row>
    <row r="28" spans="1:6" x14ac:dyDescent="0.3">
      <c r="A28">
        <v>1027</v>
      </c>
      <c r="B28" t="s">
        <v>34</v>
      </c>
      <c r="C28" t="s">
        <v>50</v>
      </c>
      <c r="D28" t="s">
        <v>51</v>
      </c>
      <c r="E28" s="3">
        <v>42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50</v>
      </c>
      <c r="D29" t="s">
        <v>51</v>
      </c>
      <c r="E29" s="3">
        <v>65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50</v>
      </c>
      <c r="D30" t="s">
        <v>51</v>
      </c>
      <c r="E30" s="3">
        <v>42</v>
      </c>
      <c r="F30">
        <f t="shared" si="0"/>
        <v>0</v>
      </c>
    </row>
    <row r="31" spans="1:6" x14ac:dyDescent="0.3">
      <c r="A31">
        <v>1030</v>
      </c>
      <c r="B31" t="s">
        <v>37</v>
      </c>
      <c r="C31" t="s">
        <v>50</v>
      </c>
      <c r="D31" t="s">
        <v>51</v>
      </c>
      <c r="E31" s="3">
        <v>32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50</v>
      </c>
      <c r="D32" t="s">
        <v>51</v>
      </c>
      <c r="E32" s="3">
        <v>33</v>
      </c>
      <c r="F32">
        <f t="shared" si="0"/>
        <v>0</v>
      </c>
    </row>
    <row r="33" spans="1:6" x14ac:dyDescent="0.3">
      <c r="A33">
        <v>1032</v>
      </c>
      <c r="B33" t="s">
        <v>39</v>
      </c>
      <c r="C33" t="s">
        <v>50</v>
      </c>
      <c r="D33" t="s">
        <v>51</v>
      </c>
      <c r="E33" s="3">
        <v>4</v>
      </c>
      <c r="F33">
        <f t="shared" si="0"/>
        <v>0</v>
      </c>
    </row>
    <row r="34" spans="1:6" x14ac:dyDescent="0.3">
      <c r="A34">
        <v>1033</v>
      </c>
      <c r="B34" t="s">
        <v>40</v>
      </c>
      <c r="C34" t="s">
        <v>50</v>
      </c>
      <c r="D34" t="s">
        <v>51</v>
      </c>
      <c r="E34" s="3">
        <v>27</v>
      </c>
      <c r="F34">
        <f t="shared" si="0"/>
        <v>0</v>
      </c>
    </row>
    <row r="35" spans="1:6" x14ac:dyDescent="0.3">
      <c r="A35">
        <v>1034</v>
      </c>
      <c r="B35" t="s">
        <v>41</v>
      </c>
      <c r="C35" t="s">
        <v>50</v>
      </c>
      <c r="D35" t="s">
        <v>51</v>
      </c>
      <c r="E35" s="3">
        <v>56</v>
      </c>
      <c r="F35">
        <f t="shared" si="0"/>
        <v>0</v>
      </c>
    </row>
    <row r="36" spans="1:6" x14ac:dyDescent="0.3">
      <c r="A36">
        <v>1035</v>
      </c>
      <c r="B36" t="s">
        <v>42</v>
      </c>
      <c r="C36" t="s">
        <v>50</v>
      </c>
      <c r="D36" t="s">
        <v>51</v>
      </c>
      <c r="E36" s="3">
        <v>36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50</v>
      </c>
      <c r="D37" t="s">
        <v>51</v>
      </c>
      <c r="E37" s="3">
        <v>51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50</v>
      </c>
      <c r="D38" t="s">
        <v>51</v>
      </c>
      <c r="E38" s="3">
        <v>71</v>
      </c>
      <c r="F38">
        <f t="shared" si="0"/>
        <v>1</v>
      </c>
    </row>
    <row r="39" spans="1:6" x14ac:dyDescent="0.3">
      <c r="A39">
        <v>1038</v>
      </c>
      <c r="B39" t="s">
        <v>45</v>
      </c>
      <c r="C39" t="s">
        <v>50</v>
      </c>
      <c r="D39" t="s">
        <v>51</v>
      </c>
      <c r="E39" s="3">
        <v>52</v>
      </c>
      <c r="F39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27-D765-4D83-A9A0-B4FAF960D4E0}">
  <dimension ref="A1:F22"/>
  <sheetViews>
    <sheetView workbookViewId="0">
      <selection activeCell="I9" sqref="I9"/>
    </sheetView>
  </sheetViews>
  <sheetFormatPr defaultRowHeight="14.4" x14ac:dyDescent="0.3"/>
  <cols>
    <col min="1" max="1" width="11.5546875" customWidth="1"/>
    <col min="2" max="7" width="19.441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52</v>
      </c>
      <c r="D2" t="s">
        <v>53</v>
      </c>
      <c r="E2" s="3">
        <v>69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52</v>
      </c>
      <c r="D3" t="s">
        <v>53</v>
      </c>
      <c r="E3" s="3">
        <v>95</v>
      </c>
      <c r="F3">
        <f t="shared" ref="F3:F22" si="0">IF(E3&gt;=60,1,0)</f>
        <v>1</v>
      </c>
    </row>
    <row r="4" spans="1:6" x14ac:dyDescent="0.3">
      <c r="A4">
        <v>1003</v>
      </c>
      <c r="B4" t="s">
        <v>10</v>
      </c>
      <c r="C4" t="s">
        <v>52</v>
      </c>
      <c r="D4" t="s">
        <v>53</v>
      </c>
      <c r="E4" s="3">
        <v>33</v>
      </c>
      <c r="F4">
        <f t="shared" si="0"/>
        <v>0</v>
      </c>
    </row>
    <row r="5" spans="1:6" x14ac:dyDescent="0.3">
      <c r="A5">
        <v>1004</v>
      </c>
      <c r="B5" t="s">
        <v>11</v>
      </c>
      <c r="C5" t="s">
        <v>52</v>
      </c>
      <c r="D5" t="s">
        <v>53</v>
      </c>
      <c r="E5" s="3">
        <v>76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52</v>
      </c>
      <c r="D6" t="s">
        <v>53</v>
      </c>
      <c r="E6" s="3">
        <v>20</v>
      </c>
      <c r="F6">
        <f t="shared" si="0"/>
        <v>0</v>
      </c>
    </row>
    <row r="7" spans="1:6" x14ac:dyDescent="0.3">
      <c r="A7">
        <v>1006</v>
      </c>
      <c r="B7" t="s">
        <v>13</v>
      </c>
      <c r="C7" t="s">
        <v>52</v>
      </c>
      <c r="D7" t="s">
        <v>53</v>
      </c>
      <c r="E7" s="3">
        <v>10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52</v>
      </c>
      <c r="D8" t="s">
        <v>53</v>
      </c>
      <c r="E8" s="3">
        <v>72</v>
      </c>
      <c r="F8">
        <f t="shared" si="0"/>
        <v>1</v>
      </c>
    </row>
    <row r="9" spans="1:6" x14ac:dyDescent="0.3">
      <c r="A9">
        <v>1008</v>
      </c>
      <c r="B9" t="s">
        <v>15</v>
      </c>
      <c r="C9" t="s">
        <v>52</v>
      </c>
      <c r="D9" t="s">
        <v>53</v>
      </c>
      <c r="E9" s="3">
        <v>80</v>
      </c>
      <c r="F9">
        <f t="shared" si="0"/>
        <v>1</v>
      </c>
    </row>
    <row r="10" spans="1:6" x14ac:dyDescent="0.3">
      <c r="A10">
        <v>1009</v>
      </c>
      <c r="B10" t="s">
        <v>16</v>
      </c>
      <c r="C10" t="s">
        <v>52</v>
      </c>
      <c r="D10" t="s">
        <v>53</v>
      </c>
      <c r="E10" s="3">
        <v>22</v>
      </c>
      <c r="F10">
        <f t="shared" si="0"/>
        <v>0</v>
      </c>
    </row>
    <row r="11" spans="1:6" x14ac:dyDescent="0.3">
      <c r="A11">
        <v>1010</v>
      </c>
      <c r="B11" t="s">
        <v>17</v>
      </c>
      <c r="C11" t="s">
        <v>52</v>
      </c>
      <c r="D11" t="s">
        <v>53</v>
      </c>
      <c r="E11" s="3">
        <v>8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52</v>
      </c>
      <c r="D12" t="s">
        <v>53</v>
      </c>
      <c r="E12" s="3">
        <v>100</v>
      </c>
      <c r="F12">
        <f t="shared" si="0"/>
        <v>1</v>
      </c>
    </row>
    <row r="13" spans="1:6" x14ac:dyDescent="0.3">
      <c r="A13">
        <v>1012</v>
      </c>
      <c r="B13" t="s">
        <v>19</v>
      </c>
      <c r="C13" t="s">
        <v>52</v>
      </c>
      <c r="D13" t="s">
        <v>53</v>
      </c>
      <c r="E13" s="3">
        <v>49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52</v>
      </c>
      <c r="D14" t="s">
        <v>53</v>
      </c>
      <c r="E14" s="3">
        <v>70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52</v>
      </c>
      <c r="D15" t="s">
        <v>53</v>
      </c>
      <c r="E15" s="3">
        <v>86</v>
      </c>
      <c r="F15">
        <f t="shared" si="0"/>
        <v>1</v>
      </c>
    </row>
    <row r="16" spans="1:6" x14ac:dyDescent="0.3">
      <c r="A16">
        <v>1015</v>
      </c>
      <c r="B16" t="s">
        <v>22</v>
      </c>
      <c r="C16" t="s">
        <v>52</v>
      </c>
      <c r="D16" t="s">
        <v>53</v>
      </c>
      <c r="E16" s="3">
        <v>15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52</v>
      </c>
      <c r="D17" t="s">
        <v>53</v>
      </c>
      <c r="E17" s="3">
        <v>95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52</v>
      </c>
      <c r="D18" t="s">
        <v>53</v>
      </c>
      <c r="E18" s="3">
        <v>77</v>
      </c>
      <c r="F18">
        <f t="shared" si="0"/>
        <v>1</v>
      </c>
    </row>
    <row r="19" spans="1:6" x14ac:dyDescent="0.3">
      <c r="A19">
        <v>1018</v>
      </c>
      <c r="B19" t="s">
        <v>25</v>
      </c>
      <c r="C19" t="s">
        <v>52</v>
      </c>
      <c r="D19" t="s">
        <v>53</v>
      </c>
      <c r="E19" s="3">
        <v>20</v>
      </c>
      <c r="F19">
        <f t="shared" si="0"/>
        <v>0</v>
      </c>
    </row>
    <row r="20" spans="1:6" x14ac:dyDescent="0.3">
      <c r="A20">
        <v>1019</v>
      </c>
      <c r="B20" t="s">
        <v>26</v>
      </c>
      <c r="C20" t="s">
        <v>52</v>
      </c>
      <c r="D20" t="s">
        <v>53</v>
      </c>
      <c r="E20" s="3">
        <v>31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52</v>
      </c>
      <c r="D21" t="s">
        <v>53</v>
      </c>
      <c r="E21" s="3">
        <v>48</v>
      </c>
      <c r="F21">
        <f t="shared" si="0"/>
        <v>0</v>
      </c>
    </row>
    <row r="22" spans="1:6" x14ac:dyDescent="0.3">
      <c r="A22">
        <v>1021</v>
      </c>
      <c r="B22" t="s">
        <v>28</v>
      </c>
      <c r="C22" t="s">
        <v>52</v>
      </c>
      <c r="D22" t="s">
        <v>53</v>
      </c>
      <c r="E22" s="3">
        <v>26</v>
      </c>
      <c r="F22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4-C560-4125-B259-D22672293B40}">
  <dimension ref="A1:F40"/>
  <sheetViews>
    <sheetView workbookViewId="0">
      <selection activeCell="K20" sqref="K20"/>
    </sheetView>
  </sheetViews>
  <sheetFormatPr defaultRowHeight="14.4" x14ac:dyDescent="0.3"/>
  <cols>
    <col min="1" max="1" width="11.21875" customWidth="1"/>
    <col min="2" max="4" width="18.33203125" customWidth="1"/>
    <col min="5" max="5" width="14.886718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1001</v>
      </c>
      <c r="B2" t="s">
        <v>6</v>
      </c>
      <c r="C2" t="s">
        <v>54</v>
      </c>
      <c r="D2" t="s">
        <v>55</v>
      </c>
      <c r="E2" s="3">
        <v>70</v>
      </c>
      <c r="F2">
        <f>IF(E2&gt;=60,1,0)</f>
        <v>1</v>
      </c>
    </row>
    <row r="3" spans="1:6" x14ac:dyDescent="0.3">
      <c r="A3">
        <v>1002</v>
      </c>
      <c r="B3" t="s">
        <v>9</v>
      </c>
      <c r="C3" t="s">
        <v>54</v>
      </c>
      <c r="D3" t="s">
        <v>55</v>
      </c>
      <c r="E3" s="3">
        <v>37</v>
      </c>
      <c r="F3">
        <f t="shared" ref="F3:F40" si="0">IF(E3&gt;=60,1,0)</f>
        <v>0</v>
      </c>
    </row>
    <row r="4" spans="1:6" x14ac:dyDescent="0.3">
      <c r="A4">
        <v>1003</v>
      </c>
      <c r="B4" t="s">
        <v>10</v>
      </c>
      <c r="C4" t="s">
        <v>54</v>
      </c>
      <c r="D4" t="s">
        <v>55</v>
      </c>
      <c r="E4" s="3">
        <v>68</v>
      </c>
      <c r="F4">
        <f t="shared" si="0"/>
        <v>1</v>
      </c>
    </row>
    <row r="5" spans="1:6" x14ac:dyDescent="0.3">
      <c r="A5">
        <v>1004</v>
      </c>
      <c r="B5" t="s">
        <v>11</v>
      </c>
      <c r="C5" t="s">
        <v>54</v>
      </c>
      <c r="D5" t="s">
        <v>55</v>
      </c>
      <c r="E5" s="3">
        <v>60</v>
      </c>
      <c r="F5">
        <f t="shared" si="0"/>
        <v>1</v>
      </c>
    </row>
    <row r="6" spans="1:6" x14ac:dyDescent="0.3">
      <c r="A6">
        <v>1005</v>
      </c>
      <c r="B6" t="s">
        <v>12</v>
      </c>
      <c r="C6" t="s">
        <v>54</v>
      </c>
      <c r="D6" t="s">
        <v>55</v>
      </c>
      <c r="E6" s="3">
        <v>98</v>
      </c>
      <c r="F6">
        <f t="shared" si="0"/>
        <v>1</v>
      </c>
    </row>
    <row r="7" spans="1:6" x14ac:dyDescent="0.3">
      <c r="A7">
        <v>1006</v>
      </c>
      <c r="B7" t="s">
        <v>13</v>
      </c>
      <c r="C7" t="s">
        <v>54</v>
      </c>
      <c r="D7" t="s">
        <v>55</v>
      </c>
      <c r="E7" s="3">
        <v>20</v>
      </c>
      <c r="F7">
        <f t="shared" si="0"/>
        <v>0</v>
      </c>
    </row>
    <row r="8" spans="1:6" x14ac:dyDescent="0.3">
      <c r="A8">
        <v>1007</v>
      </c>
      <c r="B8" t="s">
        <v>14</v>
      </c>
      <c r="C8" t="s">
        <v>54</v>
      </c>
      <c r="D8" t="s">
        <v>55</v>
      </c>
      <c r="E8" s="3">
        <v>32</v>
      </c>
      <c r="F8">
        <f t="shared" si="0"/>
        <v>0</v>
      </c>
    </row>
    <row r="9" spans="1:6" x14ac:dyDescent="0.3">
      <c r="A9">
        <v>1008</v>
      </c>
      <c r="B9" t="s">
        <v>15</v>
      </c>
      <c r="C9" t="s">
        <v>54</v>
      </c>
      <c r="D9" t="s">
        <v>55</v>
      </c>
      <c r="E9" s="3">
        <v>40</v>
      </c>
      <c r="F9">
        <f t="shared" si="0"/>
        <v>0</v>
      </c>
    </row>
    <row r="10" spans="1:6" x14ac:dyDescent="0.3">
      <c r="A10">
        <v>1009</v>
      </c>
      <c r="B10" t="s">
        <v>16</v>
      </c>
      <c r="C10" t="s">
        <v>54</v>
      </c>
      <c r="D10" t="s">
        <v>55</v>
      </c>
      <c r="E10" s="3">
        <v>97</v>
      </c>
      <c r="F10">
        <f t="shared" si="0"/>
        <v>1</v>
      </c>
    </row>
    <row r="11" spans="1:6" x14ac:dyDescent="0.3">
      <c r="A11">
        <v>1010</v>
      </c>
      <c r="B11" t="s">
        <v>17</v>
      </c>
      <c r="C11" t="s">
        <v>54</v>
      </c>
      <c r="D11" t="s">
        <v>55</v>
      </c>
      <c r="E11" s="3">
        <v>1</v>
      </c>
      <c r="F11">
        <f t="shared" si="0"/>
        <v>0</v>
      </c>
    </row>
    <row r="12" spans="1:6" x14ac:dyDescent="0.3">
      <c r="A12">
        <v>1011</v>
      </c>
      <c r="B12" t="s">
        <v>18</v>
      </c>
      <c r="C12" t="s">
        <v>54</v>
      </c>
      <c r="D12" t="s">
        <v>55</v>
      </c>
      <c r="E12" s="3">
        <v>6</v>
      </c>
      <c r="F12">
        <f t="shared" si="0"/>
        <v>0</v>
      </c>
    </row>
    <row r="13" spans="1:6" x14ac:dyDescent="0.3">
      <c r="A13">
        <v>1012</v>
      </c>
      <c r="B13" t="s">
        <v>19</v>
      </c>
      <c r="C13" t="s">
        <v>54</v>
      </c>
      <c r="D13" t="s">
        <v>55</v>
      </c>
      <c r="E13" s="3">
        <v>39</v>
      </c>
      <c r="F13">
        <f t="shared" si="0"/>
        <v>0</v>
      </c>
    </row>
    <row r="14" spans="1:6" x14ac:dyDescent="0.3">
      <c r="A14">
        <v>1013</v>
      </c>
      <c r="B14" t="s">
        <v>20</v>
      </c>
      <c r="C14" t="s">
        <v>54</v>
      </c>
      <c r="D14" t="s">
        <v>55</v>
      </c>
      <c r="E14" s="3">
        <v>68</v>
      </c>
      <c r="F14">
        <f t="shared" si="0"/>
        <v>1</v>
      </c>
    </row>
    <row r="15" spans="1:6" x14ac:dyDescent="0.3">
      <c r="A15">
        <v>1014</v>
      </c>
      <c r="B15" t="s">
        <v>21</v>
      </c>
      <c r="C15" t="s">
        <v>54</v>
      </c>
      <c r="D15" t="s">
        <v>55</v>
      </c>
      <c r="E15" s="3">
        <v>37</v>
      </c>
      <c r="F15">
        <f t="shared" si="0"/>
        <v>0</v>
      </c>
    </row>
    <row r="16" spans="1:6" x14ac:dyDescent="0.3">
      <c r="A16">
        <v>1015</v>
      </c>
      <c r="B16" t="s">
        <v>22</v>
      </c>
      <c r="C16" t="s">
        <v>54</v>
      </c>
      <c r="D16" t="s">
        <v>55</v>
      </c>
      <c r="E16" s="3">
        <v>37</v>
      </c>
      <c r="F16">
        <f t="shared" si="0"/>
        <v>0</v>
      </c>
    </row>
    <row r="17" spans="1:6" x14ac:dyDescent="0.3">
      <c r="A17">
        <v>1016</v>
      </c>
      <c r="B17" t="s">
        <v>23</v>
      </c>
      <c r="C17" t="s">
        <v>54</v>
      </c>
      <c r="D17" t="s">
        <v>55</v>
      </c>
      <c r="E17" s="3">
        <v>90</v>
      </c>
      <c r="F17">
        <f t="shared" si="0"/>
        <v>1</v>
      </c>
    </row>
    <row r="18" spans="1:6" x14ac:dyDescent="0.3">
      <c r="A18">
        <v>1017</v>
      </c>
      <c r="B18" t="s">
        <v>24</v>
      </c>
      <c r="C18" t="s">
        <v>54</v>
      </c>
      <c r="D18" t="s">
        <v>55</v>
      </c>
      <c r="E18" s="3">
        <v>38</v>
      </c>
      <c r="F18">
        <f t="shared" si="0"/>
        <v>0</v>
      </c>
    </row>
    <row r="19" spans="1:6" x14ac:dyDescent="0.3">
      <c r="A19">
        <v>1018</v>
      </c>
      <c r="B19" t="s">
        <v>25</v>
      </c>
      <c r="C19" t="s">
        <v>54</v>
      </c>
      <c r="D19" t="s">
        <v>55</v>
      </c>
      <c r="E19" s="3">
        <v>87</v>
      </c>
      <c r="F19">
        <f t="shared" si="0"/>
        <v>1</v>
      </c>
    </row>
    <row r="20" spans="1:6" x14ac:dyDescent="0.3">
      <c r="A20">
        <v>1019</v>
      </c>
      <c r="B20" t="s">
        <v>26</v>
      </c>
      <c r="C20" t="s">
        <v>54</v>
      </c>
      <c r="D20" t="s">
        <v>55</v>
      </c>
      <c r="E20" s="3">
        <v>45</v>
      </c>
      <c r="F20">
        <f t="shared" si="0"/>
        <v>0</v>
      </c>
    </row>
    <row r="21" spans="1:6" x14ac:dyDescent="0.3">
      <c r="A21">
        <v>1020</v>
      </c>
      <c r="B21" t="s">
        <v>27</v>
      </c>
      <c r="C21" t="s">
        <v>54</v>
      </c>
      <c r="D21" t="s">
        <v>55</v>
      </c>
      <c r="E21" s="3">
        <v>73</v>
      </c>
      <c r="F21">
        <f t="shared" si="0"/>
        <v>1</v>
      </c>
    </row>
    <row r="22" spans="1:6" x14ac:dyDescent="0.3">
      <c r="A22">
        <v>1021</v>
      </c>
      <c r="B22" t="s">
        <v>28</v>
      </c>
      <c r="C22" t="s">
        <v>54</v>
      </c>
      <c r="D22" t="s">
        <v>55</v>
      </c>
      <c r="E22" s="3">
        <v>36</v>
      </c>
      <c r="F22">
        <f t="shared" si="0"/>
        <v>0</v>
      </c>
    </row>
    <row r="23" spans="1:6" x14ac:dyDescent="0.3">
      <c r="A23">
        <v>1022</v>
      </c>
      <c r="B23" t="s">
        <v>29</v>
      </c>
      <c r="C23" t="s">
        <v>54</v>
      </c>
      <c r="D23" t="s">
        <v>55</v>
      </c>
      <c r="E23" s="3">
        <v>35</v>
      </c>
      <c r="F23">
        <f t="shared" si="0"/>
        <v>0</v>
      </c>
    </row>
    <row r="24" spans="1:6" x14ac:dyDescent="0.3">
      <c r="A24">
        <v>1023</v>
      </c>
      <c r="B24" t="s">
        <v>30</v>
      </c>
      <c r="C24" t="s">
        <v>54</v>
      </c>
      <c r="D24" t="s">
        <v>55</v>
      </c>
      <c r="E24" s="3">
        <v>85</v>
      </c>
      <c r="F24">
        <f t="shared" si="0"/>
        <v>1</v>
      </c>
    </row>
    <row r="25" spans="1:6" x14ac:dyDescent="0.3">
      <c r="A25">
        <v>1024</v>
      </c>
      <c r="B25" t="s">
        <v>31</v>
      </c>
      <c r="C25" t="s">
        <v>54</v>
      </c>
      <c r="D25" t="s">
        <v>55</v>
      </c>
      <c r="E25" s="3">
        <v>7</v>
      </c>
      <c r="F25">
        <f t="shared" si="0"/>
        <v>0</v>
      </c>
    </row>
    <row r="26" spans="1:6" x14ac:dyDescent="0.3">
      <c r="A26">
        <v>1025</v>
      </c>
      <c r="B26" t="s">
        <v>32</v>
      </c>
      <c r="C26" t="s">
        <v>54</v>
      </c>
      <c r="D26" t="s">
        <v>55</v>
      </c>
      <c r="E26" s="3">
        <v>67</v>
      </c>
      <c r="F26">
        <f t="shared" si="0"/>
        <v>1</v>
      </c>
    </row>
    <row r="27" spans="1:6" x14ac:dyDescent="0.3">
      <c r="A27">
        <v>1026</v>
      </c>
      <c r="B27" t="s">
        <v>33</v>
      </c>
      <c r="C27" t="s">
        <v>54</v>
      </c>
      <c r="D27" t="s">
        <v>55</v>
      </c>
      <c r="E27" s="3">
        <v>80</v>
      </c>
      <c r="F27">
        <f t="shared" si="0"/>
        <v>1</v>
      </c>
    </row>
    <row r="28" spans="1:6" x14ac:dyDescent="0.3">
      <c r="A28">
        <v>1027</v>
      </c>
      <c r="B28" t="s">
        <v>34</v>
      </c>
      <c r="C28" t="s">
        <v>54</v>
      </c>
      <c r="D28" t="s">
        <v>55</v>
      </c>
      <c r="E28" s="3">
        <v>55</v>
      </c>
      <c r="F28">
        <f t="shared" si="0"/>
        <v>0</v>
      </c>
    </row>
    <row r="29" spans="1:6" x14ac:dyDescent="0.3">
      <c r="A29">
        <v>1028</v>
      </c>
      <c r="B29" t="s">
        <v>35</v>
      </c>
      <c r="C29" t="s">
        <v>54</v>
      </c>
      <c r="D29" t="s">
        <v>55</v>
      </c>
      <c r="E29" s="3">
        <v>83</v>
      </c>
      <c r="F29">
        <f t="shared" si="0"/>
        <v>1</v>
      </c>
    </row>
    <row r="30" spans="1:6" x14ac:dyDescent="0.3">
      <c r="A30">
        <v>1029</v>
      </c>
      <c r="B30" t="s">
        <v>36</v>
      </c>
      <c r="C30" t="s">
        <v>54</v>
      </c>
      <c r="D30" t="s">
        <v>55</v>
      </c>
      <c r="E30" s="3">
        <v>67</v>
      </c>
      <c r="F30">
        <f t="shared" si="0"/>
        <v>1</v>
      </c>
    </row>
    <row r="31" spans="1:6" x14ac:dyDescent="0.3">
      <c r="A31">
        <v>1030</v>
      </c>
      <c r="B31" t="s">
        <v>37</v>
      </c>
      <c r="C31" t="s">
        <v>54</v>
      </c>
      <c r="D31" t="s">
        <v>55</v>
      </c>
      <c r="E31" s="3">
        <v>27</v>
      </c>
      <c r="F31">
        <f t="shared" si="0"/>
        <v>0</v>
      </c>
    </row>
    <row r="32" spans="1:6" x14ac:dyDescent="0.3">
      <c r="A32">
        <v>1031</v>
      </c>
      <c r="B32" t="s">
        <v>38</v>
      </c>
      <c r="C32" t="s">
        <v>54</v>
      </c>
      <c r="D32" t="s">
        <v>55</v>
      </c>
      <c r="E32" s="3">
        <v>94</v>
      </c>
      <c r="F32">
        <f t="shared" si="0"/>
        <v>1</v>
      </c>
    </row>
    <row r="33" spans="1:6" x14ac:dyDescent="0.3">
      <c r="A33">
        <v>1032</v>
      </c>
      <c r="B33" t="s">
        <v>39</v>
      </c>
      <c r="C33" t="s">
        <v>54</v>
      </c>
      <c r="D33" t="s">
        <v>55</v>
      </c>
      <c r="E33" s="3">
        <v>96</v>
      </c>
      <c r="F33">
        <f t="shared" si="0"/>
        <v>1</v>
      </c>
    </row>
    <row r="34" spans="1:6" x14ac:dyDescent="0.3">
      <c r="A34">
        <v>1033</v>
      </c>
      <c r="B34" t="s">
        <v>40</v>
      </c>
      <c r="C34" t="s">
        <v>54</v>
      </c>
      <c r="D34" t="s">
        <v>55</v>
      </c>
      <c r="E34" s="3">
        <v>99</v>
      </c>
      <c r="F34">
        <f t="shared" si="0"/>
        <v>1</v>
      </c>
    </row>
    <row r="35" spans="1:6" x14ac:dyDescent="0.3">
      <c r="A35">
        <v>1034</v>
      </c>
      <c r="B35" t="s">
        <v>41</v>
      </c>
      <c r="C35" t="s">
        <v>54</v>
      </c>
      <c r="D35" t="s">
        <v>55</v>
      </c>
      <c r="E35" s="3">
        <v>64</v>
      </c>
      <c r="F35">
        <f t="shared" si="0"/>
        <v>1</v>
      </c>
    </row>
    <row r="36" spans="1:6" x14ac:dyDescent="0.3">
      <c r="A36">
        <v>1035</v>
      </c>
      <c r="B36" t="s">
        <v>42</v>
      </c>
      <c r="C36" t="s">
        <v>54</v>
      </c>
      <c r="D36" t="s">
        <v>55</v>
      </c>
      <c r="E36" s="3">
        <v>52</v>
      </c>
      <c r="F36">
        <f t="shared" si="0"/>
        <v>0</v>
      </c>
    </row>
    <row r="37" spans="1:6" x14ac:dyDescent="0.3">
      <c r="A37">
        <v>1036</v>
      </c>
      <c r="B37" t="s">
        <v>43</v>
      </c>
      <c r="C37" t="s">
        <v>54</v>
      </c>
      <c r="D37" t="s">
        <v>55</v>
      </c>
      <c r="E37" s="3">
        <v>16</v>
      </c>
      <c r="F37">
        <f t="shared" si="0"/>
        <v>0</v>
      </c>
    </row>
    <row r="38" spans="1:6" x14ac:dyDescent="0.3">
      <c r="A38">
        <v>1037</v>
      </c>
      <c r="B38" t="s">
        <v>44</v>
      </c>
      <c r="C38" t="s">
        <v>54</v>
      </c>
      <c r="D38" t="s">
        <v>55</v>
      </c>
      <c r="E38" s="3">
        <v>34</v>
      </c>
      <c r="F38">
        <f t="shared" si="0"/>
        <v>0</v>
      </c>
    </row>
    <row r="39" spans="1:6" x14ac:dyDescent="0.3">
      <c r="A39">
        <v>1038</v>
      </c>
      <c r="B39" t="s">
        <v>45</v>
      </c>
      <c r="C39" t="s">
        <v>54</v>
      </c>
      <c r="D39" t="s">
        <v>55</v>
      </c>
      <c r="E39" s="3">
        <v>76</v>
      </c>
      <c r="F39">
        <f t="shared" si="0"/>
        <v>1</v>
      </c>
    </row>
    <row r="40" spans="1:6" x14ac:dyDescent="0.3">
      <c r="A40">
        <v>1039</v>
      </c>
      <c r="B40" t="s">
        <v>56</v>
      </c>
      <c r="C40" t="s">
        <v>54</v>
      </c>
      <c r="D40" t="s">
        <v>55</v>
      </c>
      <c r="E40" s="3">
        <v>96</v>
      </c>
      <c r="F40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Additional Details</vt:lpstr>
      <vt:lpstr>Biology</vt:lpstr>
      <vt:lpstr>Chemistry</vt:lpstr>
      <vt:lpstr>Mathematics</vt:lpstr>
      <vt:lpstr>Philosophy</vt:lpstr>
      <vt:lpstr>Physics</vt:lpstr>
      <vt:lpstr>Sociology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DISHA SURYAWANSHI</cp:lastModifiedBy>
  <dcterms:created xsi:type="dcterms:W3CDTF">2024-11-18T04:47:18Z</dcterms:created>
  <dcterms:modified xsi:type="dcterms:W3CDTF">2026-01-28T09:34:52Z</dcterms:modified>
</cp:coreProperties>
</file>